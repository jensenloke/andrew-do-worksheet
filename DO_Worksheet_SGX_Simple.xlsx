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sk Narrative" sheetId="1" state="visible" r:id="rId3"/>
    <sheet name="D&amp;O Worksheet" sheetId="2" state="visible" r:id="rId4"/>
    <sheet name="Factors" sheetId="3" state="visible" r:id="rId5"/>
  </sheets>
  <definedNames>
    <definedName function="false" hidden="false" localSheetId="1" name="_xlnm.Print_Area" vbProcedure="false">'D&amp;O Worksheet'!$A$1:$F$156</definedName>
    <definedName function="false" hidden="false" localSheetId="0" name="_xlnm.Print_Area" vbProcedure="false">'Risk Narrative'!$A$1:$H$80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<sst xmlns="http://schemas.openxmlformats.org/spreadsheetml/2006/main" count="485" uniqueCount="390">
  <si>
    <t xml:space="preserve">RISK NARRATIVE — QUALITATIVE ASSESSMENT</t>
  </si>
  <si>
    <t xml:space="preserve">Complete this tab BEFORE rating. The four assessment dropdowns are read by the referral checks on the D&amp;O Worksheet, and are cross-checked against the modifiers you select there. Write 'None identified' rather than leaving a box blank.</t>
  </si>
  <si>
    <t xml:space="preserve">1.  COMPANY OVERVIEW</t>
  </si>
  <si>
    <t xml:space="preserve">Business description — what the company actually does, key segments, geographic footprint</t>
  </si>
  <si>
    <t xml:space="preserve">Operates three container and bulk terminals in Singapore and Malaysia, with a contract logistics arm (warehousing, freight forwarding) across Indonesia and Vietnam. Terminals contribute about 62% of revenue and the large majority of EBITDA; logistics is lower margin and more competitive. Roughly 55% of assets sit outside Singapore. Listed on the Mainboard since 2011; founder family retains 38%.</t>
  </si>
  <si>
    <t xml:space="preserve">Year of establishment</t>
  </si>
  <si>
    <t xml:space="preserve">Exchange, board and year of listing</t>
  </si>
  <si>
    <t xml:space="preserve">SGX Mainboard, 2011</t>
  </si>
  <si>
    <t xml:space="preserve">Listing status</t>
  </si>
  <si>
    <t xml:space="preserve">SGX Mainboard listed</t>
  </si>
  <si>
    <t xml:space="preserve">A company listed under 24 months carries prospectus liability — check Q16 agrees.</t>
  </si>
  <si>
    <t xml:space="preserve">Market capitalisation (S$m)</t>
  </si>
  <si>
    <t xml:space="preserve">Pulled from Q1 so the two tabs cannot disagree.</t>
  </si>
  <si>
    <t xml:space="preserve">Approximate number of employees</t>
  </si>
  <si>
    <t xml:space="preserve">2.  RISK AND ADVERSE INFORMATION</t>
  </si>
  <si>
    <t xml:space="preserve">Negative news, last 3 to 5 years — media, analyst notes, short-seller reports, NGO or union action</t>
  </si>
  <si>
    <t xml:space="preserve">Q1 2026: profit warning following loss of a major Indonesian terminal contract; share price fell 9% in one session. Business press coverage questioned concentration risk. No short-seller reports identified. Sources: SGXNet announcements, Business Times, Reuters, Google News, checked 4 Aug 2026.</t>
  </si>
  <si>
    <t xml:space="preserve">Regulatory actions, investigations or fines — MAS, ACRA, CAD, CPIB, SGX RegCo, and any overseas regulator</t>
  </si>
  <si>
    <t xml:space="preserve">One SGX unusual price movement query (Feb 2026), answered same day. No fines, no enforcement action, no ongoing investigation in Singapore or in any operating jurisdiction. Indonesian customs dispute (2023) settled without penalty.</t>
  </si>
  <si>
    <t xml:space="preserve">Class actions, securities litigation, shareholder or minority-oppression disputes</t>
  </si>
  <si>
    <t xml:space="preserve">None identified. No class action, derivative action or Section 216 minority-oppression application. Two commercial contract disputes in the ordinary course, both below S$2m and unrelated to directors' conduct.</t>
  </si>
  <si>
    <t xml:space="preserve">Litigation exposure level</t>
  </si>
  <si>
    <t xml:space="preserve">Low</t>
  </si>
  <si>
    <t xml:space="preserve">Low / Moderate / High. Read by the referral checks. High refers, and must be matched by a debit on modifier 4.</t>
  </si>
  <si>
    <t xml:space="preserve">3.  FINANCIAL ANALYSIS</t>
  </si>
  <si>
    <t xml:space="preserve">Figures in S$m</t>
  </si>
  <si>
    <t xml:space="preserve">FY2025</t>
  </si>
  <si>
    <t xml:space="preserve">FY2024</t>
  </si>
  <si>
    <t xml:space="preserve">FY2023</t>
  </si>
  <si>
    <t xml:space="preserve">Most recent year first</t>
  </si>
  <si>
    <t xml:space="preserve">Total assets</t>
  </si>
  <si>
    <t xml:space="preserve">Total liabilities</t>
  </si>
  <si>
    <t xml:space="preserve">Revenue</t>
  </si>
  <si>
    <t xml:space="preserve">Net profit / (loss)</t>
  </si>
  <si>
    <t xml:space="preserve">Shareholders' equity (assets less liabilities)</t>
  </si>
  <si>
    <t xml:space="preserve">Liabilities / assets</t>
  </si>
  <si>
    <t xml:space="preserve">Net margin</t>
  </si>
  <si>
    <t xml:space="preserve">Trend commentary — direction of revenue, margin, leverage and cash across the three years</t>
  </si>
  <si>
    <t xml:space="preserve">Revenue broadly flat (S$401m to S$412m) but net profit down a third over three years, from S$31m to S$21m; net margin has compressed from 7.7% to 5.1% on terminal fee pressure and higher fuel and labour costs. Liabilities/assets has risen from 0.55 to 0.54 on a larger balance sheet, with borrowings up S$29m to fund the Vietnam warehouse. Operating cash flow remains positive and comfortably covers interest.</t>
  </si>
  <si>
    <t xml:space="preserve">Red flags — margin compression, leverage, liquidity, covenants, going-concern or audit emphasis language</t>
  </si>
  <si>
    <t xml:space="preserve">Three consecutive years of declining profit is the main concern, together with customer concentration in Indonesia. Leverage is moderate and interest cover adequate. No covenant breach, no going-concern emphasis, unqualified audit opinion, auditor unchanged. Liquidity is satisfactory.</t>
  </si>
  <si>
    <t xml:space="preserve">Overall financial strength</t>
  </si>
  <si>
    <t xml:space="preserve">Adequate</t>
  </si>
  <si>
    <t xml:space="preserve">Strong / Adequate / Weak / Serious concern. Weak or worse refers, and must be matched by a debit on modifier 1.</t>
  </si>
  <si>
    <t xml:space="preserve">4.  CORPORATE GOVERNANCE AND MANAGEMENT</t>
  </si>
  <si>
    <t xml:space="preserve">Role</t>
  </si>
  <si>
    <t xml:space="preserve">Name</t>
  </si>
  <si>
    <t xml:space="preserve">Years in role</t>
  </si>
  <si>
    <t xml:space="preserve">Capital markets experience</t>
  </si>
  <si>
    <t xml:space="preserve">Finance or accounting experience</t>
  </si>
  <si>
    <t xml:space="preserve">Legal or regulatory experience</t>
  </si>
  <si>
    <t xml:space="preserve">Relevant background and credentials</t>
  </si>
  <si>
    <t xml:space="preserve">Chairman</t>
  </si>
  <si>
    <t xml:space="preserve">Tan Wei Ming</t>
  </si>
  <si>
    <t xml:space="preserve">Yes</t>
  </si>
  <si>
    <t xml:space="preserve">No</t>
  </si>
  <si>
    <t xml:space="preserve">Founder's son. Career in port operations; no prior listed directorship outside the group.</t>
  </si>
  <si>
    <t xml:space="preserve">Chief Executive Officer</t>
  </si>
  <si>
    <t xml:space="preserve">Sarah Lim</t>
  </si>
  <si>
    <t xml:space="preserve">Ex-CFO of a listed regional logistics group; led two rights issues.</t>
  </si>
  <si>
    <t xml:space="preserve">Chief Financial Officer</t>
  </si>
  <si>
    <t xml:space="preserve">Rajesh Kumar</t>
  </si>
  <si>
    <t xml:space="preserve">CA (Singapore), ex-Big Four audit partner. No adverse findings.</t>
  </si>
  <si>
    <t xml:space="preserve">Audit Committee Chair</t>
  </si>
  <si>
    <t xml:space="preserve">Grace Ong</t>
  </si>
  <si>
    <t xml:space="preserve">FCCA, chairs the AC of one other Mainboard issuer.</t>
  </si>
  <si>
    <t xml:space="preserve">Lead Independent Director</t>
  </si>
  <si>
    <t xml:space="preserve">David Choo</t>
  </si>
  <si>
    <t xml:space="preserve">Senior counsel, corporate and regulatory practice.</t>
  </si>
  <si>
    <t xml:space="preserve">Company Secretary</t>
  </si>
  <si>
    <t xml:space="preserve">Michelle Ng</t>
  </si>
  <si>
    <t xml:space="preserve">Chartered secretary, 20 years in listed-company compliance.</t>
  </si>
  <si>
    <t xml:space="preserve">Other key officer</t>
  </si>
  <si>
    <t xml:space="preserve">Key officers with finance or accounting experience</t>
  </si>
  <si>
    <t xml:space="preserve">A board with nobody who can read a set of accounts is a governance finding in its own right — it refers.</t>
  </si>
  <si>
    <t xml:space="preserve">Assessment — strength of the management team, industry depth, listed-company and capital markets experience</t>
  </si>
  <si>
    <t xml:space="preserve">Capable and appropriately credentialled. CEO and CFO both have listed-company and capital markets experience; the CFO is a former Big Four partner and the AC chair is a qualified accountant. The chairman is the founder's son with no outside listed directorship, so independent challenge rests largely on the lead independent director and the AC chair.</t>
  </si>
  <si>
    <t xml:space="preserve">Governance concerns, board turnover and succession risk, related-party dynamics</t>
  </si>
  <si>
    <t xml:space="preserve">Board is 50% independent, not a majority, with a non-independent chairman — below the SGX Code expectation. Recurring interested-person transactions with family-controlled entities are mandated and disclosed but material in aggregate. No CEO or CFO turnover in 24 months. Director tenure is long, which cuts both ways: continuity, but weaker independence over time.</t>
  </si>
  <si>
    <t xml:space="preserve">Management team strength</t>
  </si>
  <si>
    <t xml:space="preserve">Strong / Adequate / Weak. Weak refers, and must be matched by a debit on modifier 2.</t>
  </si>
  <si>
    <t xml:space="preserve">Governance concern level</t>
  </si>
  <si>
    <t xml:space="preserve">Minor</t>
  </si>
  <si>
    <t xml:space="preserve">None / Minor / Material. Material refers, and must be matched by a debit on modifier 2.</t>
  </si>
  <si>
    <t xml:space="preserve">Write what you actually found, including where you looked and on what date. 'None identified' after a real search is a finding; a blank box is not. If the narrative and the modifiers on the D&amp;O Worksheet tell different stories, the referral checks will say so — resolve the difference rather than overwriting one of them.</t>
  </si>
  <si>
    <t xml:space="preserve">D&amp;O UNDERWRITING WORKSHEET — SGX-LISTED COMPANY</t>
  </si>
  <si>
    <t xml:space="preserve">Fill in the YELLOW cells only; everything grey is calculated. Currency SGD. Complete the Risk Narrative tab FIRST. The entries shown are a worked example for a fictional company — overwrite them.</t>
  </si>
  <si>
    <t xml:space="preserve">IDENTIFICATION</t>
  </si>
  <si>
    <t xml:space="preserve">Insured (listed entity)</t>
  </si>
  <si>
    <t xml:space="preserve">Marina Logistics Holdings Ltd</t>
  </si>
  <si>
    <t xml:space="preserve">SGX code and board</t>
  </si>
  <si>
    <t xml:space="preserve">M42 / Mainboard</t>
  </si>
  <si>
    <t xml:space="preserve">Sector</t>
  </si>
  <si>
    <t xml:space="preserve">Marine ports and logistics</t>
  </si>
  <si>
    <t xml:space="preserve">Broker and submission date</t>
  </si>
  <si>
    <t xml:space="preserve">Example Broking / 4 Aug 2026</t>
  </si>
  <si>
    <t xml:space="preserve">PART 1 — THE RISK  (20 questions)</t>
  </si>
  <si>
    <t xml:space="preserve">Question</t>
  </si>
  <si>
    <t xml:space="preserve">Answer</t>
  </si>
  <si>
    <t xml:space="preserve">Feeds</t>
  </si>
  <si>
    <t xml:space="preserve">Why it matters / how to answer</t>
  </si>
  <si>
    <t xml:space="preserve">   A.  Size and market exposure</t>
  </si>
  <si>
    <t xml:space="preserve">1.  Market capitalisation (S$m)</t>
  </si>
  <si>
    <t xml:space="preserve">Base cost</t>
  </si>
  <si>
    <t xml:space="preserve">THE EXPOSURE BASE — it caps the plausible size of a securities claim. Closing market cap at the most recent practicable date.</t>
  </si>
  <si>
    <t xml:space="preserve">2.  Free float (%)</t>
  </si>
  <si>
    <t xml:space="preserve">Mod 3</t>
  </si>
  <si>
    <t xml:space="preserve">A thin float means fewer aggrieved outside holders but sharper price moves and more minority-oppression risk.</t>
  </si>
  <si>
    <t xml:space="preserve">3.  Share price movement, last 12 months (%)</t>
  </si>
  <si>
    <t xml:space="preserve">The single best predictor of a securities claim. A fall shortly after upbeat guidance is the classic fact pattern.</t>
  </si>
  <si>
    <t xml:space="preserve">4.  Assets or revenue outside Singapore (%)</t>
  </si>
  <si>
    <t xml:space="preserve">Mod 4</t>
  </si>
  <si>
    <t xml:space="preserve">An SGX listing with operations elsewhere makes investigation and asset recovery harder. Above 75% refers and suggests a territorial limitation.</t>
  </si>
  <si>
    <t xml:space="preserve">   B.  Financial condition</t>
  </si>
  <si>
    <t xml:space="preserve">5.  Net gearing (net debt / equity)</t>
  </si>
  <si>
    <t xml:space="preserve">Mod 1</t>
  </si>
  <si>
    <t xml:space="preserve">Above 2.00x is a material debit; above 3.00x refers. Insolvency is the commonest route to a D&amp;O claim in this region.</t>
  </si>
  <si>
    <t xml:space="preserve">6.  Profitable in each of the last three financial years?</t>
  </si>
  <si>
    <t xml:space="preserve">All three</t>
  </si>
  <si>
    <t xml:space="preserve">Three clean years earns a credit. 'None' means a loss-making issuer — refers, and suggests an insolvency exclusion.</t>
  </si>
  <si>
    <t xml:space="preserve">7.  Profit warning, restatement or material adverse announcement in last 12 months?</t>
  </si>
  <si>
    <t xml:space="preserve">Mod 1 / 3</t>
  </si>
  <si>
    <t xml:space="preserve">A restatement is the strongest accounting red flag there is. A Yes suggests a specific matter exclusion.</t>
  </si>
  <si>
    <t xml:space="preserve">   C.  Governance and audit</t>
  </si>
  <si>
    <t xml:space="preserve">8.  Independent directors (% of board)</t>
  </si>
  <si>
    <t xml:space="preserve">Mod 2</t>
  </si>
  <si>
    <t xml:space="preserve">The SGX Code expects a majority where the chairman is not independent. Below one third, debit hard.</t>
  </si>
  <si>
    <t xml:space="preserve">9.  Largest shareholder holding (%)</t>
  </si>
  <si>
    <t xml:space="preserve">Drives interested-person transactions and minority-oppression exposure. Above 15% suggests a major shareholder exclusion; above 30%, an IPT exclusion.</t>
  </si>
  <si>
    <t xml:space="preserve">10.  Audit opinion, most recent</t>
  </si>
  <si>
    <t xml:space="preserve">Unqualified</t>
  </si>
  <si>
    <t xml:space="preserve">Anything other than unqualified refers.</t>
  </si>
  <si>
    <t xml:space="preserve">11.  Change of external auditor in the last 3 years?</t>
  </si>
  <si>
    <t xml:space="preserve">Ask WHY. An auditor who resigns mid-engagement is telling you something the accounts are not.</t>
  </si>
  <si>
    <t xml:space="preserve">12.  CEO or CFO change in the last 24 months?</t>
  </si>
  <si>
    <t xml:space="preserve">An unexplained CFO departure is a recurring precursor to restatement. Get the reason in writing.</t>
  </si>
  <si>
    <t xml:space="preserve">   D.  Regulatory and capital markets</t>
  </si>
  <si>
    <t xml:space="preserve">13.  SGX queries received in the last 24 months (number)</t>
  </si>
  <si>
    <t xml:space="preserve">Count unusual price movement and trade-with-caution queries. Three or more refers.</t>
  </si>
  <si>
    <t xml:space="preserve">14.  Watch-list, trading suspension or regulatory investigation?</t>
  </si>
  <si>
    <t xml:space="preserve">Covers the SGX watch-list, non-routine suspensions, and any MAS / CAD / ACRA / SGX RegCo matter.</t>
  </si>
  <si>
    <t xml:space="preserve">15.  US securities exposure</t>
  </si>
  <si>
    <t xml:space="preserve">None</t>
  </si>
  <si>
    <t xml:space="preserve">The largest single driver of D&amp;O severity worldwide. Anything other than None refers and suggests a US securities exclusion.</t>
  </si>
  <si>
    <t xml:space="preserve">16.  IPO, RTO or capital raising in the last 24 months?</t>
  </si>
  <si>
    <t xml:space="preserve">Placement or rights issue</t>
  </si>
  <si>
    <t xml:space="preserve">An offering document creates prospectus liability. An IPO or RTO refers — consider a public offering exclusion or a separate POSI policy.</t>
  </si>
  <si>
    <t xml:space="preserve">   E.  Claims and insurance history</t>
  </si>
  <si>
    <t xml:space="preserve">17.  D&amp;O claims or notifications, last 5 years (number)</t>
  </si>
  <si>
    <t xml:space="preserve">Mod 5</t>
  </si>
  <si>
    <t xml:space="preserve">Any claim at all refers. Ask for the full loss run, not the broker's summary.</t>
  </si>
  <si>
    <t xml:space="preserve">18.  Known circumstance disclosed but not yet notified?</t>
  </si>
  <si>
    <t xml:space="preserve">A Yes normally means we do not write it until it has been notified to the expiring insurer.</t>
  </si>
  <si>
    <t xml:space="preserve">19.  Has any insurer declined, cancelled or non-renewed D&amp;O cover?</t>
  </si>
  <si>
    <t xml:space="preserve">Rarely asked, highly informative. Another underwriter has already priced this risk and walked away — find out why.</t>
  </si>
  <si>
    <t xml:space="preserve">   F.  Expiring programme</t>
  </si>
  <si>
    <t xml:space="preserve">20.  Expiring premium for the SAME limit and the SAME share (S$)</t>
  </si>
  <si>
    <t xml:space="preserve">Benchmark</t>
  </si>
  <si>
    <t xml:space="preserve">Must be like-for-like. If we wrote 50% last year and 100% this year, gross the expiring figure up first, or the rate change is meaningless. Enter 0 for new business.</t>
  </si>
  <si>
    <t xml:space="preserve">PART 2 — THE STRUCTURE</t>
  </si>
  <si>
    <t xml:space="preserve">Item</t>
  </si>
  <si>
    <t xml:space="preserve">Your selection</t>
  </si>
  <si>
    <t xml:space="preserve">Factor</t>
  </si>
  <si>
    <t xml:space="preserve">Notes</t>
  </si>
  <si>
    <t xml:space="preserve">Base expected loss cost (S$)</t>
  </si>
  <si>
    <t xml:space="preserve">Table A, driven by Q1. This is a LOSS COST, not a premium.</t>
  </si>
  <si>
    <t xml:space="preserve">Limit purchased</t>
  </si>
  <si>
    <t xml:space="preserve">S$10m</t>
  </si>
  <si>
    <t xml:space="preserve">Table B. Increased limit factor, relative to S$10m = 1.00.</t>
  </si>
  <si>
    <t xml:space="preserve">Limit in S$m (used by sublimits and referral checks)</t>
  </si>
  <si>
    <t xml:space="preserve">Read automatically from Table B — nothing to type.</t>
  </si>
  <si>
    <t xml:space="preserve">Corporate (Side B / C) retention</t>
  </si>
  <si>
    <t xml:space="preserve">SGD 250k</t>
  </si>
  <si>
    <t xml:space="preserve">Table C. Side A always attaches at nil retention.</t>
  </si>
  <si>
    <t xml:space="preserve">Industry hazard class</t>
  </si>
  <si>
    <t xml:space="preserve">Class 2</t>
  </si>
  <si>
    <t xml:space="preserve">Table D. Classify on the actual business, not the GICS label.</t>
  </si>
  <si>
    <t xml:space="preserve">PART 3 — THE JUDGEMENT  (five modifiers; 1.00 is neutral)</t>
  </si>
  <si>
    <t xml:space="preserve">Modifier</t>
  </si>
  <si>
    <t xml:space="preserve">Range</t>
  </si>
  <si>
    <t xml:space="preserve">Guidance — the questions that feed it are named</t>
  </si>
  <si>
    <t xml:space="preserve">1.  Financial strength</t>
  </si>
  <si>
    <t xml:space="preserve">0.85 – 1.50</t>
  </si>
  <si>
    <t xml:space="preserve">Q5, Q6, Q7.  Credit for net cash and three profitable years. Debit for gearing above 2.0x, a broken profit run, or a warning or restatement in the last year.</t>
  </si>
  <si>
    <t xml:space="preserve">2.  Governance and ownership</t>
  </si>
  <si>
    <t xml:space="preserve">0.85 – 1.40</t>
  </si>
  <si>
    <t xml:space="preserve">Q8, Q9, Q10, Q11, Q12.  Credit for a majority-independent board and a clean audit history. Debit for a dominant controller, an auditor change, or CFO churn.</t>
  </si>
  <si>
    <t xml:space="preserve">3.  Share price and float</t>
  </si>
  <si>
    <t xml:space="preserve">0.90 – 1.50</t>
  </si>
  <si>
    <t xml:space="preserve">Q2, Q3.  Flat or rising 0.90–1.00. Down 15–35% 1.15–1.30. Down more than 35%, or a fall straight after upbeat guidance, 1.30–1.50.</t>
  </si>
  <si>
    <t xml:space="preserve">4.  Regulatory, geography and transactions</t>
  </si>
  <si>
    <t xml:space="preserve">1.00 – 2.00</t>
  </si>
  <si>
    <t xml:space="preserve">Q4, Q13, Q14, Q15, Q16.  1.00 clean and Singapore-centric. Debit for SGX queries, offshore operations, a recent raising, or ADR exposure. Watch-list or investigation 1.50–2.00.</t>
  </si>
  <si>
    <t xml:space="preserve">5.  Claims and insurance history</t>
  </si>
  <si>
    <t xml:space="preserve">0.90 – 2.00</t>
  </si>
  <si>
    <t xml:space="preserve">Q17, Q18, Q19.  0.90 five clean years, fully disclosed, never declined. 1.25–1.60 one notification. 1.60–2.00 a paid claim or a shareholder action.</t>
  </si>
  <si>
    <t xml:space="preserve">Composite modifier — the five multiplied together</t>
  </si>
  <si>
    <t xml:space="preserve">A blank modifier is ignored by this calculation, so Part 6 checks that all five are filled in.</t>
  </si>
  <si>
    <t xml:space="preserve">Composite modifier applied — after Table E floor and cap</t>
  </si>
  <si>
    <t xml:space="preserve">Floor 0.50, cap 3.50. The referral range of 0.70 – 2.00 bites long before the cap does.</t>
  </si>
  <si>
    <t xml:space="preserve">PART 4 — COVERAGE TERMS: SUBLIMITS AND EXCLUSIONS</t>
  </si>
  <si>
    <t xml:space="preserve">   4A.  Sublimits — the sheet suggests, you agree</t>
  </si>
  <si>
    <t xml:space="preserve">Sublimit item</t>
  </si>
  <si>
    <t xml:space="preserve">Agreed (S$)</t>
  </si>
  <si>
    <t xml:space="preserve">Suggested (S$)</t>
  </si>
  <si>
    <t xml:space="preserve">Basis and comment</t>
  </si>
  <si>
    <t xml:space="preserve">Emergency legal costs (no prior consent)</t>
  </si>
  <si>
    <t xml:space="preserve">10% of the limit. Lets a director instruct counsel before we have approved it.</t>
  </si>
  <si>
    <t xml:space="preserve">Entity investigation and pre-claim inquiry costs</t>
  </si>
  <si>
    <t xml:space="preserve">25% of limit, capped at S$5m. The most-used extension in Asia — most matters start as an investigation, not a claim.</t>
  </si>
  <si>
    <t xml:space="preserve">Entity employment practices liability</t>
  </si>
  <si>
    <t xml:space="preserve">Sublimit it or exclude it. Full-limit entity EPL on a listed company is not standard.</t>
  </si>
  <si>
    <t xml:space="preserve">Crisis and public relations costs</t>
  </si>
  <si>
    <t xml:space="preserve">Funds the announcement and the media handling in the first weeks.</t>
  </si>
  <si>
    <t xml:space="preserve">Extradition, bail and civil bond costs</t>
  </si>
  <si>
    <t xml:space="preserve">Relevant wherever directors travel or the group operates cross-border.</t>
  </si>
  <si>
    <t xml:space="preserve">Reputation protection expenses</t>
  </si>
  <si>
    <t xml:space="preserve">Personal reputation management for an individual director.</t>
  </si>
  <si>
    <t xml:space="preserve">Deprivation of assets costs</t>
  </si>
  <si>
    <t xml:space="preserve">Living expenses where a director's assets are frozen.</t>
  </si>
  <si>
    <t xml:space="preserve">Side C entity securities cover</t>
  </si>
  <si>
    <t xml:space="preserve">Normally the full limit. Sublimit it only if the securities exposure is the reason you are nervous.</t>
  </si>
  <si>
    <t xml:space="preserve">Sublimits are part of, not in addition to, the policy limit. Also agree separately: the extended reporting period, the run-off period for retired directors (six years is the Singapore norm), and the order-of-payments clause putting Side A first.</t>
  </si>
  <si>
    <t xml:space="preserve">   4B.  Standard exclusions — always present, already priced into the base cost, no decision needed</t>
  </si>
  <si>
    <t xml:space="preserve">Fraud and dishonesty (final adjudication) · personal profit or advantage · prior known claims and circumstances · bodily injury and property damage (defence costs normally carved back) · pollution (defence costs carved back) · professional services rendered to clients · insured versus insured (with the usual carve-backs for derivative actions, liquidators and retired directors) · war, terrorism and sanctions · fines and penalties where uninsurable at law.</t>
  </si>
  <si>
    <t xml:space="preserve">   4C.  Risk-specific exclusions and extensions — the sheet recommends, you decide</t>
  </si>
  <si>
    <t xml:space="preserve">Exclusion or extension</t>
  </si>
  <si>
    <t xml:space="preserve">Applied?</t>
  </si>
  <si>
    <t xml:space="preserve">Recommendation</t>
  </si>
  <si>
    <t xml:space="preserve">What it does and when to use it</t>
  </si>
  <si>
    <t xml:space="preserve">Premium effect</t>
  </si>
  <si>
    <t xml:space="preserve">Major shareholder exclusion (holders above 15%)</t>
  </si>
  <si>
    <t xml:space="preserve">Q9. Bars claims by a large shareholder who is effectively suing itself. Near-standard for closely held SGX issuers.</t>
  </si>
  <si>
    <t xml:space="preserve">US securities claims exclusion</t>
  </si>
  <si>
    <t xml:space="preserve">Q15. Removes the single largest severity driver. If the insured needs the cover, rate it separately and refer.</t>
  </si>
  <si>
    <t xml:space="preserve">Public offering / prospectus liability exclusion</t>
  </si>
  <si>
    <t xml:space="preserve">Q16. Excludes prospectus claims unless a separate POSI policy is bought. Do not leave an IPO silently covered.</t>
  </si>
  <si>
    <t xml:space="preserve">Specific matter exclusion (the announced adverse event)</t>
  </si>
  <si>
    <t xml:space="preserve">Q7. Carves out the warning or restatement already in the market. Describe the matter precisely — a vague wording is worthless.</t>
  </si>
  <si>
    <t xml:space="preserve">Specific investigation exclusion</t>
  </si>
  <si>
    <t xml:space="preserve">Q14. Carves out a live regulatory matter. Refer before relying on it.</t>
  </si>
  <si>
    <t xml:space="preserve">Interested-person / related-party transaction exclusion</t>
  </si>
  <si>
    <t xml:space="preserve">Q9. Where a controlling family transacts with the listed entity, IPT claims are the likeliest loss.</t>
  </si>
  <si>
    <t xml:space="preserve">Territorial limitation to Singapore and named territories</t>
  </si>
  <si>
    <t xml:space="preserve">Q4. Confines cover to where you can actually defend a claim.</t>
  </si>
  <si>
    <t xml:space="preserve">Insolvency and creditor claims exclusion</t>
  </si>
  <si>
    <t xml:space="preserve">Q6. Rare and contentious — it removes cover exactly when directors need it. Refer before offering.</t>
  </si>
  <si>
    <t xml:space="preserve">Specific prior claims and circumstances exclusion</t>
  </si>
  <si>
    <t xml:space="preserve">Q17, Q18. Names the known matters so there is no argument later.</t>
  </si>
  <si>
    <t xml:space="preserve">EXTENSION — full-limit entity investigation costs</t>
  </si>
  <si>
    <t xml:space="preserve">Removes the 4A sublimit. Commonly asked for; price it, do not give it away.</t>
  </si>
  <si>
    <t xml:space="preserve">EXTENSION — broad-form entity employment practices liability</t>
  </si>
  <si>
    <t xml:space="preserve">Widens entity EPL beyond the 4A sublimit.</t>
  </si>
  <si>
    <t xml:space="preserve">EXTENSION — 12-month extended reporting period</t>
  </si>
  <si>
    <t xml:space="preserve">Lets directors notify for a year after expiry.</t>
  </si>
  <si>
    <t xml:space="preserve">EXTENSION — run-off for retired directors beyond six years</t>
  </si>
  <si>
    <t xml:space="preserve">Longer tail for directors who have already left.</t>
  </si>
  <si>
    <t xml:space="preserve">Coverage terms factor</t>
  </si>
  <si>
    <t xml:space="preserve">One plus the sum of the effects above, floored at 0.70 and capped at 1.30. Feeds the price in Part 5.</t>
  </si>
  <si>
    <t xml:space="preserve">Never apply an exclusion in order to reach a price. Decide what cover is right for the risk, then let the factor do what it does. Every exclusion you apply must appear in the quotation — a coverage restriction the broker discovers at binding is a complaint waiting to happen. The percentages here are illustrative and must be agreed with your wordings and actuarial teams before live use.</t>
  </si>
  <si>
    <t xml:space="preserve">PART 5 — THE PRICE</t>
  </si>
  <si>
    <t xml:space="preserve">Technical loss cost (S$)</t>
  </si>
  <si>
    <t xml:space="preserve">Base cost × limit × retention × hazard × composite modifier × coverage terms.</t>
  </si>
  <si>
    <t xml:space="preserve">Permissible loss ratio</t>
  </si>
  <si>
    <t xml:space="preserve">What is left after brokerage, expenses and profit margin. 55% assumes roughly 17.5% brokerage, 15% expense, 12.5% margin.</t>
  </si>
  <si>
    <t xml:space="preserve">Technical premium (S$)</t>
  </si>
  <si>
    <t xml:space="preserve">The technically indicated price at 100%, before any commercial judgement.</t>
  </si>
  <si>
    <t xml:space="preserve">Market adjustment factor</t>
  </si>
  <si>
    <t xml:space="preserve">0.95 – 1.05 is within junior authority. Outside that, refer and record the competing terms in the file note.</t>
  </si>
  <si>
    <t xml:space="preserve">Our participation</t>
  </si>
  <si>
    <t xml:space="preserve">Enter 100% if we are writing the whole limit.</t>
  </si>
  <si>
    <t xml:space="preserve">Indicated premium — our share (S$)</t>
  </si>
  <si>
    <t xml:space="preserve">Minimum premium (S$)</t>
  </si>
  <si>
    <t xml:space="preserve">Table E.</t>
  </si>
  <si>
    <t xml:space="preserve">PREMIUM TO QUOTE (S$)</t>
  </si>
  <si>
    <t xml:space="preserve">Subject to Part 6 being clear.</t>
  </si>
  <si>
    <t xml:space="preserve">Rate change against expiring</t>
  </si>
  <si>
    <t xml:space="preserve">Only meaningful if Q20 was entered on the same limit and share. A reduction greater than 10% refers.</t>
  </si>
  <si>
    <t xml:space="preserve">Premium per S$1m of our share (S$)</t>
  </si>
  <si>
    <t xml:space="preserve">Sense-check against recent SGX risks of similar size and sector. If it looks wrong, it probably is.</t>
  </si>
  <si>
    <t xml:space="preserve">PART 6 — REFERRAL CHECK  (every trigger fires automatically from Parts 1 to 5)</t>
  </si>
  <si>
    <t xml:space="preserve">Trigger</t>
  </si>
  <si>
    <t xml:space="preserve">Status</t>
  </si>
  <si>
    <t xml:space="preserve">Refer to</t>
  </si>
  <si>
    <t xml:space="preserve">Sheet incomplete, or an input is out of bounds</t>
  </si>
  <si>
    <t xml:space="preserve">Complete before quoting</t>
  </si>
  <si>
    <t xml:space="preserve">A Part 1 question has been left unanswered — check all 20</t>
  </si>
  <si>
    <t xml:space="preserve">A Part 4 sublimit has been left blank</t>
  </si>
  <si>
    <t xml:space="preserve">A percentage answer looks mis-keyed — check Q2, Q3, Q4, Q8, Q9</t>
  </si>
  <si>
    <t xml:space="preserve">A modifier is outside its stated range (0.85 - 2.00)</t>
  </si>
  <si>
    <t xml:space="preserve">Senior underwriter</t>
  </si>
  <si>
    <t xml:space="preserve">A recommended exclusion has not been applied</t>
  </si>
  <si>
    <t xml:space="preserve">Market capitalisation below S$50m or above S$10bn</t>
  </si>
  <si>
    <t xml:space="preserve">Audit opinion is not unqualified (Q10)</t>
  </si>
  <si>
    <t xml:space="preserve">Auditor change together with a non-unqualified opinion (Q10, Q11)</t>
  </si>
  <si>
    <t xml:space="preserve">Head of Financial Lines</t>
  </si>
  <si>
    <t xml:space="preserve">Loss-making in all of the last three financial years (Q6)</t>
  </si>
  <si>
    <t xml:space="preserve">Net gearing above 3.00x (Q5)</t>
  </si>
  <si>
    <t xml:space="preserve">More than 75% of assets or revenue outside Singapore (Q4)</t>
  </si>
  <si>
    <t xml:space="preserve">Any US securities exposure (Q15)</t>
  </si>
  <si>
    <t xml:space="preserve">Hazard Class 5</t>
  </si>
  <si>
    <t xml:space="preserve">Watch-list, suspension or regulatory investigation (Q14)</t>
  </si>
  <si>
    <t xml:space="preserve">Three or more SGX queries in the last 24 months (Q13)</t>
  </si>
  <si>
    <t xml:space="preserve">IPO or RTO completed in the last 24 months (Q16)</t>
  </si>
  <si>
    <t xml:space="preserve">Claims or notifications in the last 5 years (Q17)</t>
  </si>
  <si>
    <t xml:space="preserve">Undisclosed or un-notified known circumstance (Q18)</t>
  </si>
  <si>
    <t xml:space="preserve">D&amp;O cover previously declined, cancelled or non-renewed (Q19)</t>
  </si>
  <si>
    <t xml:space="preserve">Composite modifier outside 0.70 – 2.00</t>
  </si>
  <si>
    <t xml:space="preserve">Table E floor or cap has bitten the composite modifier</t>
  </si>
  <si>
    <t xml:space="preserve">Coverage terms factor outside 0.80 – 1.20</t>
  </si>
  <si>
    <t xml:space="preserve">A sublimit has been agreed above the suggested level</t>
  </si>
  <si>
    <t xml:space="preserve">Market adjustment factor outside 0.95 – 1.05</t>
  </si>
  <si>
    <t xml:space="preserve">Premium reduction greater than 10% against expiring</t>
  </si>
  <si>
    <t xml:space="preserve">Limit above S$25m</t>
  </si>
  <si>
    <t xml:space="preserve">Quote floored at the minimum premium</t>
  </si>
  <si>
    <t xml:space="preserve">NARRATIVE — a section of the Risk Narrative tab is blank</t>
  </si>
  <si>
    <t xml:space="preserve">NARRATIVE — litigation exposure assessed as High</t>
  </si>
  <si>
    <t xml:space="preserve">NARRATIVE — financial strength assessed as Weak or Serious concern</t>
  </si>
  <si>
    <t xml:space="preserve">NARRATIVE — management assessed as Weak, or a Material governance concern</t>
  </si>
  <si>
    <t xml:space="preserve">NARRATIVE — no key officer has finance or accounting experience</t>
  </si>
  <si>
    <t xml:space="preserve">NARRATIVE — shareholders' equity is negative</t>
  </si>
  <si>
    <t xml:space="preserve">CONTRADICTION — narrative says financial strength is weak, but modifier 1 is a credit</t>
  </si>
  <si>
    <t xml:space="preserve">CONTRADICTION — narrative says litigation exposure is High, but modifier 4 is below 1.20</t>
  </si>
  <si>
    <t xml:space="preserve">CONTRADICTION — narrative flags management or governance, but modifier 2 is below 1.10</t>
  </si>
  <si>
    <t xml:space="preserve">CONTRADICTION — narrative profit history does not agree with Q6</t>
  </si>
  <si>
    <t xml:space="preserve">REFERRAL STATUS</t>
  </si>
  <si>
    <t xml:space="preserve">SIGN-OFF</t>
  </si>
  <si>
    <t xml:space="preserve">Underwriter</t>
  </si>
  <si>
    <t xml:space="preserve">Date</t>
  </si>
  <si>
    <t xml:space="preserve">Referred to / outcome</t>
  </si>
  <si>
    <t xml:space="preserve">Approved by</t>
  </si>
  <si>
    <t xml:space="preserve">The base loss costs, the factors and the coverage percentages here are illustrative, built on conventional D&amp;O rating logic. They are not actuarially derived and are not a rate filing. Replace the numbers on the Factors tab with your actuary's indicated rates, and agree the Part 4 percentages with your wordings team, before live use. The sheet is a pricing aid, not a substitute for judgement.</t>
  </si>
  <si>
    <t xml:space="preserve">FACTOR TABLES — do not change without sign-off from the Head of Financial Lines</t>
  </si>
  <si>
    <t xml:space="preserve">Market cap band (S$m)</t>
  </si>
  <si>
    <t xml:space="preserve">Lower bound (S$m)</t>
  </si>
  <si>
    <t xml:space="preserve">Upper bound (S$m)</t>
  </si>
  <si>
    <t xml:space="preserve">TABLE A — loss cost (S$)</t>
  </si>
  <si>
    <t xml:space="preserve">Below 50</t>
  </si>
  <si>
    <t xml:space="preserve">50 to below 100</t>
  </si>
  <si>
    <t xml:space="preserve">100 to below 250</t>
  </si>
  <si>
    <t xml:space="preserve">250 to below 500</t>
  </si>
  <si>
    <t xml:space="preserve">500 to below 1,000</t>
  </si>
  <si>
    <t xml:space="preserve">1,000 to below 2,500</t>
  </si>
  <si>
    <t xml:space="preserve">2,500 to below 5,000</t>
  </si>
  <si>
    <t xml:space="preserve">5,000 to below 10,000</t>
  </si>
  <si>
    <t xml:space="preserve">10,000 and above</t>
  </si>
  <si>
    <t xml:space="preserve">Lookup uses the lower bound only; the upper bound column is shown for reading. Basis: S$10m limit, SGD 250k retention, Hazard Class 2, 12 months.</t>
  </si>
  <si>
    <t xml:space="preserve">TABLE B — limit</t>
  </si>
  <si>
    <t xml:space="preserve">Limit (S$m)</t>
  </si>
  <si>
    <t xml:space="preserve">Comment</t>
  </si>
  <si>
    <t xml:space="preserve">S$5m</t>
  </si>
  <si>
    <t xml:space="preserve">S$15m</t>
  </si>
  <si>
    <t xml:space="preserve">S$20m</t>
  </si>
  <si>
    <t xml:space="preserve">S$25m</t>
  </si>
  <si>
    <t xml:space="preserve">S$30m</t>
  </si>
  <si>
    <t xml:space="preserve">S$50m</t>
  </si>
  <si>
    <t xml:space="preserve">Relative to S$10m = 1.00. Column C is read by the worksheet for sublimits and referral checks — keep it aligned with column A.</t>
  </si>
  <si>
    <t xml:space="preserve">TABLE C — retention</t>
  </si>
  <si>
    <t xml:space="preserve">Retention (S$)</t>
  </si>
  <si>
    <t xml:space="preserve">SGD 100k</t>
  </si>
  <si>
    <t xml:space="preserve">Low for a listed company</t>
  </si>
  <si>
    <t xml:space="preserve">Benchmark for an SGX mid-cap</t>
  </si>
  <si>
    <t xml:space="preserve">SGD 500k</t>
  </si>
  <si>
    <t xml:space="preserve">Suits above roughly S$1bn</t>
  </si>
  <si>
    <t xml:space="preserve">SGD 1m</t>
  </si>
  <si>
    <t xml:space="preserve">Large cap</t>
  </si>
  <si>
    <t xml:space="preserve">SGD 2.5m</t>
  </si>
  <si>
    <t xml:space="preserve">Large cap only — refer</t>
  </si>
  <si>
    <t xml:space="preserve">TABLE D — hazard class</t>
  </si>
  <si>
    <t xml:space="preserve">Typical SGX sectors</t>
  </si>
  <si>
    <t xml:space="preserve">Class 1</t>
  </si>
  <si>
    <t xml:space="preserve">REITs, business trusts, utilities, regulated infrastructure</t>
  </si>
  <si>
    <t xml:space="preserve">Stable regulated cash flows</t>
  </si>
  <si>
    <t xml:space="preserve">Industrials, consumer staples, transport and logistics, telcos</t>
  </si>
  <si>
    <t xml:space="preserve">Benchmark class</t>
  </si>
  <si>
    <t xml:space="preserve">Class 3</t>
  </si>
  <si>
    <t xml:space="preserve">Property developers, construction, agri-commodities, healthcare, hospitality</t>
  </si>
  <si>
    <t xml:space="preserve">Cyclical, estimate-heavy accounting</t>
  </si>
  <si>
    <t xml:space="preserve">Class 4</t>
  </si>
  <si>
    <t xml:space="preserve">Banks and financial services, offshore and marine, oil and gas, mining, technology</t>
  </si>
  <si>
    <t xml:space="preserve">Regulatory intensity, volatile earnings</t>
  </si>
  <si>
    <t xml:space="preserve">Class 5</t>
  </si>
  <si>
    <t xml:space="preserve">Pre-revenue biotech, digital assets, Catalist shells, recent RTO or SPAC, distressed</t>
  </si>
  <si>
    <t xml:space="preserve">Always refer</t>
  </si>
  <si>
    <t xml:space="preserve">TABLE E — parameters</t>
  </si>
  <si>
    <t xml:space="preserve">Value</t>
  </si>
  <si>
    <t xml:space="preserve">Applies to our share</t>
  </si>
  <si>
    <t xml:space="preserve">Composite modifier floor</t>
  </si>
  <si>
    <t xml:space="preserve">Applied in Part 3</t>
  </si>
  <si>
    <t xml:space="preserve">Composite modifier cap</t>
  </si>
</sst>
</file>

<file path=xl/styles.xml><?xml version="1.0" encoding="utf-8"?>
<styleSheet xmlns="http://schemas.openxmlformats.org/spreadsheetml/2006/main">
  <numFmts count="6">
    <numFmt numFmtId="164" formatCode="General"/>
    <numFmt numFmtId="165" formatCode="#,##0;\(#,##0\);\-"/>
    <numFmt numFmtId="166" formatCode="0.00"/>
    <numFmt numFmtId="167" formatCode="0.0%"/>
    <numFmt numFmtId="168" formatCode="General"/>
    <numFmt numFmtId="169" formatCode="\+0.0%;\-0.0%;\-"/>
  </numFmts>
  <fonts count="17">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8"/>
      <color rgb="FF595959"/>
      <name val="Arial"/>
      <family val="0"/>
      <charset val="1"/>
    </font>
    <font>
      <b val="true"/>
      <sz val="10"/>
      <color rgb="FFFFFFFF"/>
      <name val="Arial"/>
      <family val="0"/>
      <charset val="1"/>
    </font>
    <font>
      <b val="true"/>
      <sz val="9"/>
      <color rgb="FF1F3864"/>
      <name val="Arial"/>
      <family val="0"/>
      <charset val="1"/>
    </font>
    <font>
      <sz val="9"/>
      <color rgb="FF0000FF"/>
      <name val="Arial"/>
      <family val="0"/>
      <charset val="1"/>
    </font>
    <font>
      <sz val="9"/>
      <name val="Arial"/>
      <family val="0"/>
      <charset val="1"/>
    </font>
    <font>
      <sz val="9"/>
      <color rgb="FF008000"/>
      <name val="Arial"/>
      <family val="0"/>
      <charset val="1"/>
    </font>
    <font>
      <b val="true"/>
      <sz val="9"/>
      <name val="Arial"/>
      <family val="0"/>
      <charset val="1"/>
    </font>
    <font>
      <b val="true"/>
      <sz val="9"/>
      <color rgb="FFFFFFFF"/>
      <name val="Arial"/>
      <family val="0"/>
      <charset val="1"/>
    </font>
    <font>
      <b val="true"/>
      <sz val="10"/>
      <name val="Arial"/>
      <family val="0"/>
      <charset val="1"/>
    </font>
    <font>
      <sz val="8"/>
      <color rgb="FFC00000"/>
      <name val="Arial"/>
      <family val="0"/>
      <charset val="1"/>
    </font>
    <font>
      <sz val="8"/>
      <color rgb="FF2E5496"/>
      <name val="Arial"/>
      <family val="0"/>
      <charset val="1"/>
    </font>
    <font>
      <b val="true"/>
      <sz val="12"/>
      <color rgb="FFC0000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FFFF00"/>
        <bgColor rgb="FFFFFF00"/>
      </patternFill>
    </fill>
    <fill>
      <patternFill patternType="solid">
        <fgColor rgb="FFE2EFDA"/>
        <bgColor rgb="FFDEEAF6"/>
      </patternFill>
    </fill>
    <fill>
      <patternFill patternType="solid">
        <fgColor rgb="FF808080"/>
        <bgColor rgb="FF969696"/>
      </patternFill>
    </fill>
    <fill>
      <patternFill patternType="solid">
        <fgColor rgb="FFF2F2F2"/>
        <bgColor rgb="FFE2EFDA"/>
      </patternFill>
    </fill>
    <fill>
      <patternFill patternType="solid">
        <fgColor rgb="FFDEEAF6"/>
        <bgColor rgb="FFD9E2F3"/>
      </patternFill>
    </fill>
    <fill>
      <patternFill patternType="solid">
        <fgColor rgb="FFD9E2F3"/>
        <bgColor rgb="FFDEEAF6"/>
      </patternFill>
    </fill>
  </fills>
  <borders count="4">
    <border diagonalUp="false" diagonalDown="false">
      <left/>
      <right/>
      <top/>
      <bottom/>
      <diagonal/>
    </border>
    <border diagonalUp="false" diagonalDown="false">
      <left style="thin">
        <color rgb="FFBFBFBF"/>
      </left>
      <right/>
      <top style="thin">
        <color rgb="FFBFBFBF"/>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center" textRotation="0" wrapText="false" indent="1"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5" fontId="10" fillId="5" borderId="2" xfId="0" applyFont="true" applyBorder="true" applyAlignment="true" applyProtection="false">
      <alignment horizontal="center" vertical="center" textRotation="0" wrapText="false" indent="0" shrinkToFit="false"/>
      <protection locked="true" hidden="false"/>
    </xf>
    <xf numFmtId="165" fontId="8" fillId="4" borderId="2"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8" fillId="4" borderId="2" xfId="0" applyFont="true" applyBorder="true" applyAlignment="true" applyProtection="false">
      <alignment horizontal="center" vertical="bottom" textRotation="0" wrapText="false" indent="0" shrinkToFit="false"/>
      <protection locked="true" hidden="false"/>
    </xf>
    <xf numFmtId="165" fontId="9" fillId="7" borderId="2" xfId="0" applyFont="true" applyBorder="true" applyAlignment="true" applyProtection="false">
      <alignment horizontal="center" vertical="bottom" textRotation="0" wrapText="false" indent="0" shrinkToFit="false"/>
      <protection locked="true" hidden="false"/>
    </xf>
    <xf numFmtId="166" fontId="9" fillId="7" borderId="2" xfId="0" applyFont="true" applyBorder="true" applyAlignment="true" applyProtection="false">
      <alignment horizontal="center" vertical="bottom" textRotation="0" wrapText="false" indent="0" shrinkToFit="false"/>
      <protection locked="true" hidden="false"/>
    </xf>
    <xf numFmtId="167" fontId="9" fillId="7" borderId="2" xfId="0" applyFont="true" applyBorder="true" applyAlignment="true" applyProtection="false">
      <alignment horizontal="center" vertical="bottom" textRotation="0" wrapText="false" indent="0" shrinkToFit="false"/>
      <protection locked="true" hidden="false"/>
    </xf>
    <xf numFmtId="164" fontId="12" fillId="6"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8" fillId="4" borderId="2" xfId="0" applyFont="true" applyBorder="true" applyAlignment="true" applyProtection="false">
      <alignment horizontal="general" vertical="center" textRotation="0" wrapText="true" indent="0" shrinkToFit="false"/>
      <protection locked="true" hidden="false"/>
    </xf>
    <xf numFmtId="168" fontId="13" fillId="8" borderId="2"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7" fillId="9" borderId="0"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7" fontId="8" fillId="4" borderId="2" xfId="0" applyFont="true" applyBorder="true" applyAlignment="true" applyProtection="false">
      <alignment horizontal="center" vertical="center" textRotation="0" wrapText="false" indent="0" shrinkToFit="false"/>
      <protection locked="true" hidden="false"/>
    </xf>
    <xf numFmtId="166" fontId="8" fillId="4" borderId="2" xfId="0" applyFont="true" applyBorder="true" applyAlignment="true" applyProtection="false">
      <alignment horizontal="center" vertical="center" textRotation="0" wrapText="false" indent="0" shrinkToFit="false"/>
      <protection locked="true" hidden="false"/>
    </xf>
    <xf numFmtId="164" fontId="9" fillId="7" borderId="2" xfId="0" applyFont="true" applyBorder="true" applyAlignment="true" applyProtection="false">
      <alignment horizontal="center" vertical="center" textRotation="0" wrapText="false" indent="0" shrinkToFit="false"/>
      <protection locked="true" hidden="false"/>
    </xf>
    <xf numFmtId="165" fontId="9" fillId="7"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9" fillId="7"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6" fontId="13" fillId="8"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9" fontId="9" fillId="7" borderId="2" xfId="0" applyFont="true" applyBorder="true" applyAlignment="true" applyProtection="false">
      <alignment horizontal="center" vertical="center" textRotation="0" wrapText="false" indent="0" shrinkToFit="false"/>
      <protection locked="true" hidden="false"/>
    </xf>
    <xf numFmtId="165" fontId="16" fillId="4" borderId="2" xfId="0" applyFont="true" applyBorder="true" applyAlignment="true" applyProtection="false">
      <alignment horizontal="center" vertical="center" textRotation="0" wrapText="false" indent="0" shrinkToFit="false"/>
      <protection locked="true" hidden="false"/>
    </xf>
    <xf numFmtId="167" fontId="9" fillId="7"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general"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16" fillId="4" borderId="3" xfId="0" applyFont="true" applyBorder="true" applyAlignment="true" applyProtection="false">
      <alignment horizontal="center" vertical="center" textRotation="0" wrapText="false" indent="0" shrinkToFit="false"/>
      <protection locked="true" hidden="false"/>
    </xf>
    <xf numFmtId="164" fontId="8" fillId="4" borderId="3"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5" fontId="9" fillId="0"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6" fontId="9" fillId="0"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EEAF6"/>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24"/>
    <col collapsed="false" customWidth="true" hidden="false" outlineLevel="0" max="4" min="4" style="0" width="13"/>
    <col collapsed="false" customWidth="true" hidden="false" outlineLevel="0" max="7" min="5" style="0" width="16"/>
    <col collapsed="false" customWidth="true" hidden="false" outlineLevel="0" max="8" min="8" style="0" width="42"/>
  </cols>
  <sheetData>
    <row r="1" customFormat="false" ht="25.5" hidden="false" customHeight="true" outlineLevel="0" collapsed="false">
      <c r="A1" s="1" t="s">
        <v>0</v>
      </c>
      <c r="B1" s="1"/>
      <c r="C1" s="1"/>
      <c r="D1" s="1"/>
      <c r="E1" s="1"/>
      <c r="F1" s="1"/>
      <c r="G1" s="1"/>
      <c r="H1" s="1"/>
    </row>
    <row r="2" customFormat="false" ht="13.5" hidden="false" customHeight="true" outlineLevel="0" collapsed="false">
      <c r="A2" s="2" t="s">
        <v>1</v>
      </c>
      <c r="B2" s="2"/>
      <c r="C2" s="2"/>
      <c r="D2" s="2"/>
      <c r="E2" s="2"/>
      <c r="F2" s="2"/>
      <c r="G2" s="2"/>
      <c r="H2" s="2"/>
    </row>
    <row r="4" customFormat="false" ht="16.5" hidden="false" customHeight="true" outlineLevel="0" collapsed="false">
      <c r="A4" s="3" t="s">
        <v>2</v>
      </c>
      <c r="B4" s="3"/>
      <c r="C4" s="3"/>
      <c r="D4" s="3"/>
      <c r="E4" s="3"/>
      <c r="F4" s="3"/>
      <c r="G4" s="3"/>
      <c r="H4" s="3"/>
    </row>
    <row r="5" customFormat="false" ht="13.5" hidden="false" customHeight="true" outlineLevel="0" collapsed="false">
      <c r="B5" s="4" t="s">
        <v>3</v>
      </c>
      <c r="C5" s="4"/>
      <c r="D5" s="4"/>
      <c r="E5" s="4"/>
      <c r="F5" s="4"/>
      <c r="G5" s="4"/>
      <c r="H5" s="4"/>
    </row>
    <row r="6" customFormat="false" ht="15" hidden="false" customHeight="true" outlineLevel="0" collapsed="false">
      <c r="B6" s="5" t="s">
        <v>4</v>
      </c>
      <c r="C6" s="5"/>
      <c r="D6" s="5"/>
      <c r="E6" s="5"/>
      <c r="F6" s="5"/>
      <c r="G6" s="5"/>
      <c r="H6" s="5"/>
    </row>
    <row r="7" customFormat="false" ht="15" hidden="false" customHeight="true" outlineLevel="0" collapsed="false">
      <c r="B7" s="5"/>
      <c r="C7" s="5"/>
      <c r="D7" s="5"/>
      <c r="E7" s="5"/>
      <c r="F7" s="5"/>
      <c r="G7" s="5"/>
      <c r="H7" s="5"/>
    </row>
    <row r="8" customFormat="false" ht="15" hidden="false" customHeight="true" outlineLevel="0" collapsed="false">
      <c r="B8" s="5"/>
      <c r="C8" s="5"/>
      <c r="D8" s="5"/>
      <c r="E8" s="5"/>
      <c r="F8" s="5"/>
      <c r="G8" s="5"/>
      <c r="H8" s="5"/>
    </row>
    <row r="9" customFormat="false" ht="15" hidden="false" customHeight="true" outlineLevel="0" collapsed="false">
      <c r="B9" s="5"/>
      <c r="C9" s="5"/>
      <c r="D9" s="5"/>
      <c r="E9" s="5"/>
      <c r="F9" s="5"/>
      <c r="G9" s="5"/>
      <c r="H9" s="5"/>
    </row>
    <row r="11" customFormat="false" ht="15.75" hidden="false" customHeight="true" outlineLevel="0" collapsed="false">
      <c r="B11" s="6" t="s">
        <v>5</v>
      </c>
      <c r="C11" s="7" t="n">
        <v>1994</v>
      </c>
    </row>
    <row r="12" customFormat="false" ht="15.75" hidden="false" customHeight="true" outlineLevel="0" collapsed="false">
      <c r="B12" s="6" t="s">
        <v>6</v>
      </c>
      <c r="C12" s="7" t="s">
        <v>7</v>
      </c>
    </row>
    <row r="13" customFormat="false" ht="15.75" hidden="false" customHeight="true" outlineLevel="0" collapsed="false">
      <c r="B13" s="6" t="s">
        <v>8</v>
      </c>
      <c r="C13" s="7" t="s">
        <v>9</v>
      </c>
      <c r="D13" s="8" t="s">
        <v>10</v>
      </c>
      <c r="E13" s="8"/>
      <c r="F13" s="8"/>
      <c r="G13" s="8"/>
      <c r="H13" s="8"/>
    </row>
    <row r="14" customFormat="false" ht="15.75" hidden="false" customHeight="true" outlineLevel="0" collapsed="false">
      <c r="B14" s="6" t="s">
        <v>11</v>
      </c>
      <c r="C14" s="9" t="n">
        <f aca="false">'D&amp;O Worksheet'!$C$13</f>
        <v>680</v>
      </c>
      <c r="D14" s="8" t="s">
        <v>12</v>
      </c>
      <c r="E14" s="8"/>
      <c r="F14" s="8"/>
      <c r="G14" s="8"/>
      <c r="H14" s="8"/>
    </row>
    <row r="15" customFormat="false" ht="15.75" hidden="false" customHeight="true" outlineLevel="0" collapsed="false">
      <c r="B15" s="6" t="s">
        <v>13</v>
      </c>
      <c r="C15" s="10" t="n">
        <v>2100</v>
      </c>
    </row>
    <row r="16" customFormat="false" ht="16.5" hidden="false" customHeight="true" outlineLevel="0" collapsed="false">
      <c r="A16" s="3" t="s">
        <v>14</v>
      </c>
      <c r="B16" s="3"/>
      <c r="C16" s="3"/>
      <c r="D16" s="3"/>
      <c r="E16" s="3"/>
      <c r="F16" s="3"/>
      <c r="G16" s="3"/>
      <c r="H16" s="3"/>
    </row>
    <row r="17" customFormat="false" ht="13.5" hidden="false" customHeight="true" outlineLevel="0" collapsed="false">
      <c r="B17" s="4" t="s">
        <v>15</v>
      </c>
      <c r="C17" s="4"/>
      <c r="D17" s="4"/>
      <c r="E17" s="4"/>
      <c r="F17" s="4"/>
      <c r="G17" s="4"/>
      <c r="H17" s="4"/>
    </row>
    <row r="18" customFormat="false" ht="15" hidden="false" customHeight="true" outlineLevel="0" collapsed="false">
      <c r="B18" s="5" t="s">
        <v>16</v>
      </c>
      <c r="C18" s="5"/>
      <c r="D18" s="5"/>
      <c r="E18" s="5"/>
      <c r="F18" s="5"/>
      <c r="G18" s="5"/>
      <c r="H18" s="5"/>
    </row>
    <row r="19" customFormat="false" ht="15" hidden="false" customHeight="true" outlineLevel="0" collapsed="false">
      <c r="B19" s="5"/>
      <c r="C19" s="5"/>
      <c r="D19" s="5"/>
      <c r="E19" s="5"/>
      <c r="F19" s="5"/>
      <c r="G19" s="5"/>
      <c r="H19" s="5"/>
    </row>
    <row r="20" customFormat="false" ht="15" hidden="false" customHeight="true" outlineLevel="0" collapsed="false">
      <c r="B20" s="5"/>
      <c r="C20" s="5"/>
      <c r="D20" s="5"/>
      <c r="E20" s="5"/>
      <c r="F20" s="5"/>
      <c r="G20" s="5"/>
      <c r="H20" s="5"/>
    </row>
    <row r="22" customFormat="false" ht="13.5" hidden="false" customHeight="true" outlineLevel="0" collapsed="false">
      <c r="B22" s="4" t="s">
        <v>17</v>
      </c>
      <c r="C22" s="4"/>
      <c r="D22" s="4"/>
      <c r="E22" s="4"/>
      <c r="F22" s="4"/>
      <c r="G22" s="4"/>
      <c r="H22" s="4"/>
    </row>
    <row r="23" customFormat="false" ht="15" hidden="false" customHeight="true" outlineLevel="0" collapsed="false">
      <c r="B23" s="5" t="s">
        <v>18</v>
      </c>
      <c r="C23" s="5"/>
      <c r="D23" s="5"/>
      <c r="E23" s="5"/>
      <c r="F23" s="5"/>
      <c r="G23" s="5"/>
      <c r="H23" s="5"/>
    </row>
    <row r="24" customFormat="false" ht="15" hidden="false" customHeight="true" outlineLevel="0" collapsed="false">
      <c r="B24" s="5"/>
      <c r="C24" s="5"/>
      <c r="D24" s="5"/>
      <c r="E24" s="5"/>
      <c r="F24" s="5"/>
      <c r="G24" s="5"/>
      <c r="H24" s="5"/>
    </row>
    <row r="25" customFormat="false" ht="15" hidden="false" customHeight="true" outlineLevel="0" collapsed="false">
      <c r="B25" s="5"/>
      <c r="C25" s="5"/>
      <c r="D25" s="5"/>
      <c r="E25" s="5"/>
      <c r="F25" s="5"/>
      <c r="G25" s="5"/>
      <c r="H25" s="5"/>
    </row>
    <row r="27" customFormat="false" ht="13.5" hidden="false" customHeight="true" outlineLevel="0" collapsed="false">
      <c r="B27" s="4" t="s">
        <v>19</v>
      </c>
      <c r="C27" s="4"/>
      <c r="D27" s="4"/>
      <c r="E27" s="4"/>
      <c r="F27" s="4"/>
      <c r="G27" s="4"/>
      <c r="H27" s="4"/>
    </row>
    <row r="28" customFormat="false" ht="15" hidden="false" customHeight="true" outlineLevel="0" collapsed="false">
      <c r="B28" s="5" t="s">
        <v>20</v>
      </c>
      <c r="C28" s="5"/>
      <c r="D28" s="5"/>
      <c r="E28" s="5"/>
      <c r="F28" s="5"/>
      <c r="G28" s="5"/>
      <c r="H28" s="5"/>
    </row>
    <row r="29" customFormat="false" ht="15" hidden="false" customHeight="true" outlineLevel="0" collapsed="false">
      <c r="B29" s="5"/>
      <c r="C29" s="5"/>
      <c r="D29" s="5"/>
      <c r="E29" s="5"/>
      <c r="F29" s="5"/>
      <c r="G29" s="5"/>
      <c r="H29" s="5"/>
    </row>
    <row r="30" customFormat="false" ht="15" hidden="false" customHeight="true" outlineLevel="0" collapsed="false">
      <c r="B30" s="5"/>
      <c r="C30" s="5"/>
      <c r="D30" s="5"/>
      <c r="E30" s="5"/>
      <c r="F30" s="5"/>
      <c r="G30" s="5"/>
      <c r="H30" s="5"/>
    </row>
    <row r="32" customFormat="false" ht="15.75" hidden="false" customHeight="true" outlineLevel="0" collapsed="false">
      <c r="B32" s="6" t="s">
        <v>21</v>
      </c>
      <c r="C32" s="7" t="s">
        <v>22</v>
      </c>
      <c r="D32" s="8" t="s">
        <v>23</v>
      </c>
      <c r="E32" s="8"/>
      <c r="F32" s="8"/>
      <c r="G32" s="8"/>
      <c r="H32" s="8"/>
    </row>
    <row r="33" customFormat="false" ht="16.5" hidden="false" customHeight="true" outlineLevel="0" collapsed="false">
      <c r="A33" s="3" t="s">
        <v>24</v>
      </c>
      <c r="B33" s="3"/>
      <c r="C33" s="3"/>
      <c r="D33" s="3"/>
      <c r="E33" s="3"/>
      <c r="F33" s="3"/>
      <c r="G33" s="3"/>
      <c r="H33" s="3"/>
    </row>
    <row r="34" customFormat="false" ht="15" hidden="false" customHeight="false" outlineLevel="0" collapsed="false">
      <c r="B34" s="11" t="s">
        <v>25</v>
      </c>
      <c r="C34" s="12" t="s">
        <v>26</v>
      </c>
      <c r="D34" s="12" t="s">
        <v>27</v>
      </c>
      <c r="E34" s="12" t="s">
        <v>28</v>
      </c>
      <c r="F34" s="2" t="s">
        <v>29</v>
      </c>
      <c r="G34" s="2"/>
      <c r="H34" s="2"/>
    </row>
    <row r="35" customFormat="false" ht="15" hidden="false" customHeight="true" outlineLevel="0" collapsed="false">
      <c r="B35" s="13" t="s">
        <v>30</v>
      </c>
      <c r="C35" s="14" t="n">
        <v>690</v>
      </c>
      <c r="D35" s="14" t="n">
        <v>664</v>
      </c>
      <c r="E35" s="14" t="n">
        <v>651</v>
      </c>
    </row>
    <row r="36" customFormat="false" ht="15" hidden="false" customHeight="true" outlineLevel="0" collapsed="false">
      <c r="B36" s="13" t="s">
        <v>31</v>
      </c>
      <c r="C36" s="14" t="n">
        <v>372</v>
      </c>
      <c r="D36" s="14" t="n">
        <v>359</v>
      </c>
      <c r="E36" s="14" t="n">
        <v>359</v>
      </c>
    </row>
    <row r="37" customFormat="false" ht="15" hidden="false" customHeight="true" outlineLevel="0" collapsed="false">
      <c r="B37" s="13" t="s">
        <v>32</v>
      </c>
      <c r="C37" s="14" t="n">
        <v>412</v>
      </c>
      <c r="D37" s="14" t="n">
        <v>388</v>
      </c>
      <c r="E37" s="14" t="n">
        <v>401</v>
      </c>
    </row>
    <row r="38" customFormat="false" ht="15" hidden="false" customHeight="true" outlineLevel="0" collapsed="false">
      <c r="B38" s="13" t="s">
        <v>33</v>
      </c>
      <c r="C38" s="14" t="n">
        <v>21</v>
      </c>
      <c r="D38" s="14" t="n">
        <v>26</v>
      </c>
      <c r="E38" s="14" t="n">
        <v>31</v>
      </c>
    </row>
    <row r="39" customFormat="false" ht="15" hidden="false" customHeight="true" outlineLevel="0" collapsed="false">
      <c r="B39" s="13" t="s">
        <v>34</v>
      </c>
      <c r="C39" s="15" t="n">
        <f aca="false">IFERROR(C35-C36,"")</f>
        <v>318</v>
      </c>
      <c r="D39" s="15" t="n">
        <f aca="false">IFERROR(D35-D36,"")</f>
        <v>305</v>
      </c>
      <c r="E39" s="15" t="n">
        <f aca="false">IFERROR(E35-E36,"")</f>
        <v>292</v>
      </c>
    </row>
    <row r="40" customFormat="false" ht="15" hidden="false" customHeight="true" outlineLevel="0" collapsed="false">
      <c r="B40" s="13" t="s">
        <v>35</v>
      </c>
      <c r="C40" s="16" t="n">
        <f aca="false">IFERROR(C36/C35,"")</f>
        <v>0.539130434782609</v>
      </c>
      <c r="D40" s="16" t="n">
        <f aca="false">IFERROR(D36/D35,"")</f>
        <v>0.54066265060241</v>
      </c>
      <c r="E40" s="16" t="n">
        <f aca="false">IFERROR(E36/E35,"")</f>
        <v>0.551459293394777</v>
      </c>
    </row>
    <row r="41" customFormat="false" ht="15" hidden="false" customHeight="true" outlineLevel="0" collapsed="false">
      <c r="B41" s="13" t="s">
        <v>36</v>
      </c>
      <c r="C41" s="17" t="n">
        <f aca="false">IFERROR(C38/C37,"")</f>
        <v>0.0509708737864078</v>
      </c>
      <c r="D41" s="17" t="n">
        <f aca="false">IFERROR(D38/D37,"")</f>
        <v>0.0670103092783505</v>
      </c>
      <c r="E41" s="17" t="n">
        <f aca="false">IFERROR(E38/E37,"")</f>
        <v>0.0773067331670823</v>
      </c>
    </row>
    <row r="43" customFormat="false" ht="13.5" hidden="false" customHeight="true" outlineLevel="0" collapsed="false">
      <c r="B43" s="4" t="s">
        <v>37</v>
      </c>
      <c r="C43" s="4"/>
      <c r="D43" s="4"/>
      <c r="E43" s="4"/>
      <c r="F43" s="4"/>
      <c r="G43" s="4"/>
      <c r="H43" s="4"/>
    </row>
    <row r="44" customFormat="false" ht="15" hidden="false" customHeight="true" outlineLevel="0" collapsed="false">
      <c r="B44" s="5" t="s">
        <v>38</v>
      </c>
      <c r="C44" s="5"/>
      <c r="D44" s="5"/>
      <c r="E44" s="5"/>
      <c r="F44" s="5"/>
      <c r="G44" s="5"/>
      <c r="H44" s="5"/>
    </row>
    <row r="45" customFormat="false" ht="15" hidden="false" customHeight="true" outlineLevel="0" collapsed="false">
      <c r="B45" s="5"/>
      <c r="C45" s="5"/>
      <c r="D45" s="5"/>
      <c r="E45" s="5"/>
      <c r="F45" s="5"/>
      <c r="G45" s="5"/>
      <c r="H45" s="5"/>
    </row>
    <row r="46" customFormat="false" ht="15" hidden="false" customHeight="true" outlineLevel="0" collapsed="false">
      <c r="B46" s="5"/>
      <c r="C46" s="5"/>
      <c r="D46" s="5"/>
      <c r="E46" s="5"/>
      <c r="F46" s="5"/>
      <c r="G46" s="5"/>
      <c r="H46" s="5"/>
    </row>
    <row r="48" customFormat="false" ht="13.5" hidden="false" customHeight="true" outlineLevel="0" collapsed="false">
      <c r="B48" s="4" t="s">
        <v>39</v>
      </c>
      <c r="C48" s="4"/>
      <c r="D48" s="4"/>
      <c r="E48" s="4"/>
      <c r="F48" s="4"/>
      <c r="G48" s="4"/>
      <c r="H48" s="4"/>
    </row>
    <row r="49" customFormat="false" ht="15" hidden="false" customHeight="true" outlineLevel="0" collapsed="false">
      <c r="B49" s="5" t="s">
        <v>40</v>
      </c>
      <c r="C49" s="5"/>
      <c r="D49" s="5"/>
      <c r="E49" s="5"/>
      <c r="F49" s="5"/>
      <c r="G49" s="5"/>
      <c r="H49" s="5"/>
    </row>
    <row r="50" customFormat="false" ht="15" hidden="false" customHeight="true" outlineLevel="0" collapsed="false">
      <c r="B50" s="5"/>
      <c r="C50" s="5"/>
      <c r="D50" s="5"/>
      <c r="E50" s="5"/>
      <c r="F50" s="5"/>
      <c r="G50" s="5"/>
      <c r="H50" s="5"/>
    </row>
    <row r="51" customFormat="false" ht="15" hidden="false" customHeight="true" outlineLevel="0" collapsed="false">
      <c r="B51" s="5"/>
      <c r="C51" s="5"/>
      <c r="D51" s="5"/>
      <c r="E51" s="5"/>
      <c r="F51" s="5"/>
      <c r="G51" s="5"/>
      <c r="H51" s="5"/>
    </row>
    <row r="53" customFormat="false" ht="15.75" hidden="false" customHeight="true" outlineLevel="0" collapsed="false">
      <c r="B53" s="6" t="s">
        <v>41</v>
      </c>
      <c r="C53" s="7" t="s">
        <v>42</v>
      </c>
      <c r="D53" s="8" t="s">
        <v>43</v>
      </c>
      <c r="E53" s="8"/>
      <c r="F53" s="8"/>
      <c r="G53" s="8"/>
      <c r="H53" s="8"/>
    </row>
    <row r="54" customFormat="false" ht="16.5" hidden="false" customHeight="true" outlineLevel="0" collapsed="false">
      <c r="A54" s="3" t="s">
        <v>44</v>
      </c>
      <c r="B54" s="3"/>
      <c r="C54" s="3"/>
      <c r="D54" s="3"/>
      <c r="E54" s="3"/>
      <c r="F54" s="3"/>
      <c r="G54" s="3"/>
      <c r="H54" s="3"/>
    </row>
    <row r="55" customFormat="false" ht="30" hidden="false" customHeight="true" outlineLevel="0" collapsed="false">
      <c r="A55" s="18"/>
      <c r="B55" s="18" t="s">
        <v>45</v>
      </c>
      <c r="C55" s="18" t="s">
        <v>46</v>
      </c>
      <c r="D55" s="18" t="s">
        <v>47</v>
      </c>
      <c r="E55" s="18" t="s">
        <v>48</v>
      </c>
      <c r="F55" s="18" t="s">
        <v>49</v>
      </c>
      <c r="G55" s="18" t="s">
        <v>50</v>
      </c>
      <c r="H55" s="18" t="s">
        <v>51</v>
      </c>
    </row>
    <row r="56" customFormat="false" ht="24" hidden="false" customHeight="true" outlineLevel="0" collapsed="false">
      <c r="B56" s="19" t="s">
        <v>52</v>
      </c>
      <c r="C56" s="7" t="s">
        <v>53</v>
      </c>
      <c r="D56" s="7" t="n">
        <v>14</v>
      </c>
      <c r="E56" s="7" t="s">
        <v>54</v>
      </c>
      <c r="F56" s="7" t="s">
        <v>55</v>
      </c>
      <c r="G56" s="7" t="s">
        <v>55</v>
      </c>
      <c r="H56" s="20" t="s">
        <v>56</v>
      </c>
    </row>
    <row r="57" customFormat="false" ht="24" hidden="false" customHeight="true" outlineLevel="0" collapsed="false">
      <c r="B57" s="19" t="s">
        <v>57</v>
      </c>
      <c r="C57" s="7" t="s">
        <v>58</v>
      </c>
      <c r="D57" s="7" t="n">
        <v>6</v>
      </c>
      <c r="E57" s="7" t="s">
        <v>54</v>
      </c>
      <c r="F57" s="7" t="s">
        <v>54</v>
      </c>
      <c r="G57" s="7" t="s">
        <v>55</v>
      </c>
      <c r="H57" s="20" t="s">
        <v>59</v>
      </c>
    </row>
    <row r="58" customFormat="false" ht="24" hidden="false" customHeight="true" outlineLevel="0" collapsed="false">
      <c r="B58" s="19" t="s">
        <v>60</v>
      </c>
      <c r="C58" s="7" t="s">
        <v>61</v>
      </c>
      <c r="D58" s="7" t="n">
        <v>4</v>
      </c>
      <c r="E58" s="7" t="s">
        <v>54</v>
      </c>
      <c r="F58" s="7" t="s">
        <v>54</v>
      </c>
      <c r="G58" s="7" t="s">
        <v>55</v>
      </c>
      <c r="H58" s="20" t="s">
        <v>62</v>
      </c>
    </row>
    <row r="59" customFormat="false" ht="24" hidden="false" customHeight="true" outlineLevel="0" collapsed="false">
      <c r="B59" s="19" t="s">
        <v>63</v>
      </c>
      <c r="C59" s="7" t="s">
        <v>64</v>
      </c>
      <c r="D59" s="7" t="n">
        <v>5</v>
      </c>
      <c r="E59" s="7" t="s">
        <v>54</v>
      </c>
      <c r="F59" s="7" t="s">
        <v>54</v>
      </c>
      <c r="G59" s="7" t="s">
        <v>55</v>
      </c>
      <c r="H59" s="20" t="s">
        <v>65</v>
      </c>
    </row>
    <row r="60" customFormat="false" ht="24" hidden="false" customHeight="true" outlineLevel="0" collapsed="false">
      <c r="B60" s="19" t="s">
        <v>66</v>
      </c>
      <c r="C60" s="7" t="s">
        <v>67</v>
      </c>
      <c r="D60" s="7" t="n">
        <v>9</v>
      </c>
      <c r="E60" s="7" t="s">
        <v>54</v>
      </c>
      <c r="F60" s="7" t="s">
        <v>55</v>
      </c>
      <c r="G60" s="7" t="s">
        <v>54</v>
      </c>
      <c r="H60" s="20" t="s">
        <v>68</v>
      </c>
    </row>
    <row r="61" customFormat="false" ht="24" hidden="false" customHeight="true" outlineLevel="0" collapsed="false">
      <c r="B61" s="19" t="s">
        <v>69</v>
      </c>
      <c r="C61" s="7" t="s">
        <v>70</v>
      </c>
      <c r="D61" s="7" t="n">
        <v>7</v>
      </c>
      <c r="E61" s="7" t="s">
        <v>55</v>
      </c>
      <c r="F61" s="7" t="s">
        <v>55</v>
      </c>
      <c r="G61" s="7" t="s">
        <v>54</v>
      </c>
      <c r="H61" s="20" t="s">
        <v>71</v>
      </c>
    </row>
    <row r="62" customFormat="false" ht="24" hidden="false" customHeight="true" outlineLevel="0" collapsed="false">
      <c r="B62" s="19" t="s">
        <v>72</v>
      </c>
      <c r="C62" s="7"/>
      <c r="D62" s="7"/>
      <c r="E62" s="7"/>
      <c r="F62" s="7"/>
      <c r="G62" s="7"/>
      <c r="H62" s="20"/>
    </row>
    <row r="63" customFormat="false" ht="15" hidden="false" customHeight="false" outlineLevel="0" collapsed="false">
      <c r="B63" s="13" t="s">
        <v>73</v>
      </c>
      <c r="C63" s="21" t="n">
        <f aca="false">COUNTIF(F56:F62,"Yes")</f>
        <v>3</v>
      </c>
      <c r="D63" s="2" t="s">
        <v>74</v>
      </c>
      <c r="E63" s="2"/>
      <c r="F63" s="2"/>
      <c r="G63" s="2"/>
      <c r="H63" s="2"/>
    </row>
    <row r="65" customFormat="false" ht="13.5" hidden="false" customHeight="true" outlineLevel="0" collapsed="false">
      <c r="B65" s="4" t="s">
        <v>75</v>
      </c>
      <c r="C65" s="4"/>
      <c r="D65" s="4"/>
      <c r="E65" s="4"/>
      <c r="F65" s="4"/>
      <c r="G65" s="4"/>
      <c r="H65" s="4"/>
    </row>
    <row r="66" customFormat="false" ht="15" hidden="false" customHeight="true" outlineLevel="0" collapsed="false">
      <c r="B66" s="5" t="s">
        <v>76</v>
      </c>
      <c r="C66" s="5"/>
      <c r="D66" s="5"/>
      <c r="E66" s="5"/>
      <c r="F66" s="5"/>
      <c r="G66" s="5"/>
      <c r="H66" s="5"/>
    </row>
    <row r="67" customFormat="false" ht="15" hidden="false" customHeight="true" outlineLevel="0" collapsed="false">
      <c r="B67" s="5"/>
      <c r="C67" s="5"/>
      <c r="D67" s="5"/>
      <c r="E67" s="5"/>
      <c r="F67" s="5"/>
      <c r="G67" s="5"/>
      <c r="H67" s="5"/>
    </row>
    <row r="68" customFormat="false" ht="15" hidden="false" customHeight="true" outlineLevel="0" collapsed="false">
      <c r="B68" s="5"/>
      <c r="C68" s="5"/>
      <c r="D68" s="5"/>
      <c r="E68" s="5"/>
      <c r="F68" s="5"/>
      <c r="G68" s="5"/>
      <c r="H68" s="5"/>
    </row>
    <row r="70" customFormat="false" ht="13.5" hidden="false" customHeight="true" outlineLevel="0" collapsed="false">
      <c r="B70" s="4" t="s">
        <v>77</v>
      </c>
      <c r="C70" s="4"/>
      <c r="D70" s="4"/>
      <c r="E70" s="4"/>
      <c r="F70" s="4"/>
      <c r="G70" s="4"/>
      <c r="H70" s="4"/>
    </row>
    <row r="71" customFormat="false" ht="15" hidden="false" customHeight="true" outlineLevel="0" collapsed="false">
      <c r="B71" s="5" t="s">
        <v>78</v>
      </c>
      <c r="C71" s="5"/>
      <c r="D71" s="5"/>
      <c r="E71" s="5"/>
      <c r="F71" s="5"/>
      <c r="G71" s="5"/>
      <c r="H71" s="5"/>
    </row>
    <row r="72" customFormat="false" ht="15" hidden="false" customHeight="true" outlineLevel="0" collapsed="false">
      <c r="B72" s="5"/>
      <c r="C72" s="5"/>
      <c r="D72" s="5"/>
      <c r="E72" s="5"/>
      <c r="F72" s="5"/>
      <c r="G72" s="5"/>
      <c r="H72" s="5"/>
    </row>
    <row r="73" customFormat="false" ht="15" hidden="false" customHeight="true" outlineLevel="0" collapsed="false">
      <c r="B73" s="5"/>
      <c r="C73" s="5"/>
      <c r="D73" s="5"/>
      <c r="E73" s="5"/>
      <c r="F73" s="5"/>
      <c r="G73" s="5"/>
      <c r="H73" s="5"/>
    </row>
    <row r="75" customFormat="false" ht="15.75" hidden="false" customHeight="true" outlineLevel="0" collapsed="false">
      <c r="B75" s="6" t="s">
        <v>79</v>
      </c>
      <c r="C75" s="7" t="s">
        <v>42</v>
      </c>
      <c r="D75" s="8" t="s">
        <v>80</v>
      </c>
      <c r="E75" s="8"/>
      <c r="F75" s="8"/>
      <c r="G75" s="8"/>
      <c r="H75" s="8"/>
    </row>
    <row r="76" customFormat="false" ht="15.75" hidden="false" customHeight="true" outlineLevel="0" collapsed="false">
      <c r="B76" s="6" t="s">
        <v>81</v>
      </c>
      <c r="C76" s="7" t="s">
        <v>82</v>
      </c>
      <c r="D76" s="8" t="s">
        <v>83</v>
      </c>
      <c r="E76" s="8"/>
      <c r="F76" s="8"/>
      <c r="G76" s="8"/>
      <c r="H76" s="8"/>
    </row>
    <row r="78" customFormat="false" ht="15" hidden="false" customHeight="true" outlineLevel="0" collapsed="false">
      <c r="B78" s="22" t="s">
        <v>84</v>
      </c>
      <c r="C78" s="22"/>
      <c r="D78" s="22"/>
      <c r="E78" s="22"/>
      <c r="F78" s="22"/>
      <c r="G78" s="22"/>
      <c r="H78" s="22"/>
    </row>
    <row r="79" customFormat="false" ht="15" hidden="false" customHeight="false" outlineLevel="0" collapsed="false">
      <c r="B79" s="22"/>
      <c r="C79" s="22"/>
      <c r="D79" s="22"/>
      <c r="E79" s="22"/>
      <c r="F79" s="22"/>
      <c r="G79" s="22"/>
      <c r="H79" s="22"/>
    </row>
    <row r="80" customFormat="false" ht="15" hidden="false" customHeight="false" outlineLevel="0" collapsed="false">
      <c r="B80" s="22"/>
      <c r="C80" s="22"/>
      <c r="D80" s="22"/>
      <c r="E80" s="22"/>
      <c r="F80" s="22"/>
      <c r="G80" s="22"/>
      <c r="H80" s="22"/>
    </row>
  </sheetData>
  <mergeCells count="31">
    <mergeCell ref="A1:H1"/>
    <mergeCell ref="A2:H2"/>
    <mergeCell ref="A4:H4"/>
    <mergeCell ref="B5:H5"/>
    <mergeCell ref="B6:H9"/>
    <mergeCell ref="D13:H13"/>
    <mergeCell ref="D14:H14"/>
    <mergeCell ref="A16:H16"/>
    <mergeCell ref="B17:H17"/>
    <mergeCell ref="B18:H20"/>
    <mergeCell ref="B22:H22"/>
    <mergeCell ref="B23:H25"/>
    <mergeCell ref="B27:H27"/>
    <mergeCell ref="B28:H30"/>
    <mergeCell ref="D32:H32"/>
    <mergeCell ref="A33:H33"/>
    <mergeCell ref="F34:H34"/>
    <mergeCell ref="B43:H43"/>
    <mergeCell ref="B44:H46"/>
    <mergeCell ref="B48:H48"/>
    <mergeCell ref="B49:H51"/>
    <mergeCell ref="D53:H53"/>
    <mergeCell ref="A54:H54"/>
    <mergeCell ref="D63:H63"/>
    <mergeCell ref="B65:H65"/>
    <mergeCell ref="B66:H68"/>
    <mergeCell ref="B70:H70"/>
    <mergeCell ref="B71:H73"/>
    <mergeCell ref="D75:H75"/>
    <mergeCell ref="D76:H76"/>
    <mergeCell ref="B78:H80"/>
  </mergeCells>
  <dataValidations count="6">
    <dataValidation allowBlank="true" errorStyle="stop" operator="between" showDropDown="false" showErrorMessage="false" showInputMessage="false" sqref="C13" type="list">
      <formula1>"SGX Mainboard listed,SGX Catalist listed,Dual-listed,Listed under 24 months"</formula1>
      <formula2>0</formula2>
    </dataValidation>
    <dataValidation allowBlank="true" errorStyle="stop" operator="between" showDropDown="false" showErrorMessage="false" showInputMessage="false" sqref="C32" type="list">
      <formula1>"Low,Moderate,High"</formula1>
      <formula2>0</formula2>
    </dataValidation>
    <dataValidation allowBlank="true" errorStyle="stop" operator="between" showDropDown="false" showErrorMessage="false" showInputMessage="false" sqref="C53" type="list">
      <formula1>"Strong,Adequate,Weak,Serious concern"</formula1>
      <formula2>0</formula2>
    </dataValidation>
    <dataValidation allowBlank="true" errorStyle="stop" operator="between" showDropDown="false" showErrorMessage="false" showInputMessage="false" sqref="C75" type="list">
      <formula1>"Strong,Adequate,Weak"</formula1>
      <formula2>0</formula2>
    </dataValidation>
    <dataValidation allowBlank="true" errorStyle="stop" operator="between" showDropDown="false" showErrorMessage="false" showInputMessage="false" sqref="C76" type="list">
      <formula1>"None,Minor,Material"</formula1>
      <formula2>0</formula2>
    </dataValidation>
    <dataValidation allowBlank="true" errorStyle="stop" operator="between" showDropDown="false" showErrorMessage="false" showInputMessage="false" sqref="E56:G6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4" min="3" style="0" width="16"/>
    <col collapsed="false" customWidth="true" hidden="false" outlineLevel="0" max="5" min="5" style="0" width="52"/>
    <col collapsed="false" customWidth="true" hidden="false" outlineLevel="0" max="6" min="6" style="0" width="13"/>
  </cols>
  <sheetData>
    <row r="1" customFormat="false" ht="25.5" hidden="false" customHeight="true" outlineLevel="0" collapsed="false">
      <c r="A1" s="1" t="s">
        <v>85</v>
      </c>
      <c r="B1" s="1"/>
      <c r="C1" s="1"/>
      <c r="D1" s="1"/>
      <c r="E1" s="1"/>
      <c r="F1" s="1"/>
    </row>
    <row r="2" customFormat="false" ht="13.5" hidden="false" customHeight="true" outlineLevel="0" collapsed="false">
      <c r="A2" s="2" t="s">
        <v>86</v>
      </c>
      <c r="B2" s="2"/>
      <c r="C2" s="2"/>
      <c r="D2" s="2"/>
      <c r="E2" s="2"/>
      <c r="F2" s="2"/>
    </row>
    <row r="4" customFormat="false" ht="16.5" hidden="false" customHeight="true" outlineLevel="0" collapsed="false">
      <c r="A4" s="3" t="s">
        <v>87</v>
      </c>
      <c r="B4" s="3"/>
      <c r="C4" s="3"/>
      <c r="D4" s="3"/>
      <c r="E4" s="3"/>
      <c r="F4" s="3"/>
    </row>
    <row r="5" customFormat="false" ht="15.75" hidden="false" customHeight="true" outlineLevel="0" collapsed="false">
      <c r="B5" s="6" t="s">
        <v>88</v>
      </c>
      <c r="C5" s="7" t="s">
        <v>89</v>
      </c>
    </row>
    <row r="6" customFormat="false" ht="15.75" hidden="false" customHeight="true" outlineLevel="0" collapsed="false">
      <c r="B6" s="6" t="s">
        <v>90</v>
      </c>
      <c r="C6" s="7" t="s">
        <v>91</v>
      </c>
    </row>
    <row r="7" customFormat="false" ht="15.75" hidden="false" customHeight="true" outlineLevel="0" collapsed="false">
      <c r="B7" s="6" t="s">
        <v>92</v>
      </c>
      <c r="C7" s="7" t="s">
        <v>93</v>
      </c>
    </row>
    <row r="8" customFormat="false" ht="15.75" hidden="false" customHeight="true" outlineLevel="0" collapsed="false">
      <c r="B8" s="6" t="s">
        <v>94</v>
      </c>
      <c r="C8" s="7" t="s">
        <v>95</v>
      </c>
    </row>
    <row r="10" customFormat="false" ht="16.5" hidden="false" customHeight="true" outlineLevel="0" collapsed="false">
      <c r="A10" s="3" t="s">
        <v>96</v>
      </c>
      <c r="B10" s="3"/>
      <c r="C10" s="3"/>
      <c r="D10" s="3"/>
      <c r="E10" s="3"/>
      <c r="F10" s="3"/>
    </row>
    <row r="11" customFormat="false" ht="19.5" hidden="false" customHeight="true" outlineLevel="0" collapsed="false">
      <c r="A11" s="18"/>
      <c r="B11" s="18" t="s">
        <v>97</v>
      </c>
      <c r="C11" s="18" t="s">
        <v>98</v>
      </c>
      <c r="D11" s="18" t="s">
        <v>99</v>
      </c>
      <c r="E11" s="18" t="s">
        <v>100</v>
      </c>
      <c r="F11" s="18"/>
    </row>
    <row r="12" customFormat="false" ht="15" hidden="false" customHeight="true" outlineLevel="0" collapsed="false">
      <c r="A12" s="23" t="s">
        <v>101</v>
      </c>
      <c r="B12" s="23"/>
      <c r="C12" s="23"/>
      <c r="D12" s="23"/>
      <c r="E12" s="23"/>
      <c r="F12" s="23"/>
    </row>
    <row r="13" customFormat="false" ht="15.75" hidden="false" customHeight="true" outlineLevel="0" collapsed="false">
      <c r="B13" s="6" t="s">
        <v>102</v>
      </c>
      <c r="C13" s="10" t="n">
        <v>680</v>
      </c>
      <c r="D13" s="24" t="s">
        <v>103</v>
      </c>
      <c r="E13" s="25" t="s">
        <v>104</v>
      </c>
    </row>
    <row r="14" customFormat="false" ht="15.75" hidden="false" customHeight="true" outlineLevel="0" collapsed="false">
      <c r="B14" s="6" t="s">
        <v>105</v>
      </c>
      <c r="C14" s="26" t="n">
        <v>0.42</v>
      </c>
      <c r="D14" s="24" t="s">
        <v>106</v>
      </c>
      <c r="E14" s="25" t="s">
        <v>107</v>
      </c>
    </row>
    <row r="15" customFormat="false" ht="15.75" hidden="false" customHeight="true" outlineLevel="0" collapsed="false">
      <c r="B15" s="6" t="s">
        <v>108</v>
      </c>
      <c r="C15" s="26" t="n">
        <v>-0.18</v>
      </c>
      <c r="D15" s="24" t="s">
        <v>106</v>
      </c>
      <c r="E15" s="25" t="s">
        <v>109</v>
      </c>
    </row>
    <row r="16" customFormat="false" ht="24" hidden="false" customHeight="true" outlineLevel="0" collapsed="false">
      <c r="B16" s="6" t="s">
        <v>110</v>
      </c>
      <c r="C16" s="26" t="n">
        <v>0.55</v>
      </c>
      <c r="D16" s="24" t="s">
        <v>111</v>
      </c>
      <c r="E16" s="25" t="s">
        <v>112</v>
      </c>
    </row>
    <row r="17" customFormat="false" ht="15" hidden="false" customHeight="true" outlineLevel="0" collapsed="false">
      <c r="A17" s="23" t="s">
        <v>113</v>
      </c>
      <c r="B17" s="23"/>
      <c r="C17" s="23"/>
      <c r="D17" s="23"/>
      <c r="E17" s="23"/>
      <c r="F17" s="23"/>
    </row>
    <row r="18" customFormat="false" ht="15.75" hidden="false" customHeight="true" outlineLevel="0" collapsed="false">
      <c r="B18" s="6" t="s">
        <v>114</v>
      </c>
      <c r="C18" s="27" t="n">
        <v>0.51</v>
      </c>
      <c r="D18" s="24" t="s">
        <v>115</v>
      </c>
      <c r="E18" s="25" t="s">
        <v>116</v>
      </c>
    </row>
    <row r="19" customFormat="false" ht="15.75" hidden="false" customHeight="true" outlineLevel="0" collapsed="false">
      <c r="B19" s="6" t="s">
        <v>117</v>
      </c>
      <c r="C19" s="7" t="s">
        <v>118</v>
      </c>
      <c r="D19" s="24" t="s">
        <v>115</v>
      </c>
      <c r="E19" s="25" t="s">
        <v>119</v>
      </c>
    </row>
    <row r="20" customFormat="false" ht="24" hidden="false" customHeight="true" outlineLevel="0" collapsed="false">
      <c r="B20" s="6" t="s">
        <v>120</v>
      </c>
      <c r="C20" s="7" t="s">
        <v>54</v>
      </c>
      <c r="D20" s="24" t="s">
        <v>121</v>
      </c>
      <c r="E20" s="25" t="s">
        <v>122</v>
      </c>
    </row>
    <row r="21" customFormat="false" ht="15" hidden="false" customHeight="true" outlineLevel="0" collapsed="false">
      <c r="A21" s="23" t="s">
        <v>123</v>
      </c>
      <c r="B21" s="23"/>
      <c r="C21" s="23"/>
      <c r="D21" s="23"/>
      <c r="E21" s="23"/>
      <c r="F21" s="23"/>
    </row>
    <row r="22" customFormat="false" ht="15.75" hidden="false" customHeight="true" outlineLevel="0" collapsed="false">
      <c r="B22" s="6" t="s">
        <v>124</v>
      </c>
      <c r="C22" s="26" t="n">
        <v>0.5</v>
      </c>
      <c r="D22" s="24" t="s">
        <v>125</v>
      </c>
      <c r="E22" s="25" t="s">
        <v>126</v>
      </c>
    </row>
    <row r="23" customFormat="false" ht="24" hidden="false" customHeight="true" outlineLevel="0" collapsed="false">
      <c r="B23" s="6" t="s">
        <v>127</v>
      </c>
      <c r="C23" s="26" t="n">
        <v>0.38</v>
      </c>
      <c r="D23" s="24" t="s">
        <v>125</v>
      </c>
      <c r="E23" s="25" t="s">
        <v>128</v>
      </c>
    </row>
    <row r="24" customFormat="false" ht="15.75" hidden="false" customHeight="true" outlineLevel="0" collapsed="false">
      <c r="B24" s="6" t="s">
        <v>129</v>
      </c>
      <c r="C24" s="7" t="s">
        <v>130</v>
      </c>
      <c r="D24" s="24" t="s">
        <v>125</v>
      </c>
      <c r="E24" s="25" t="s">
        <v>131</v>
      </c>
    </row>
    <row r="25" customFormat="false" ht="15.75" hidden="false" customHeight="true" outlineLevel="0" collapsed="false">
      <c r="B25" s="6" t="s">
        <v>132</v>
      </c>
      <c r="C25" s="7" t="s">
        <v>55</v>
      </c>
      <c r="D25" s="24" t="s">
        <v>125</v>
      </c>
      <c r="E25" s="25" t="s">
        <v>133</v>
      </c>
    </row>
    <row r="26" customFormat="false" ht="15.75" hidden="false" customHeight="true" outlineLevel="0" collapsed="false">
      <c r="B26" s="6" t="s">
        <v>134</v>
      </c>
      <c r="C26" s="7" t="s">
        <v>55</v>
      </c>
      <c r="D26" s="24" t="s">
        <v>125</v>
      </c>
      <c r="E26" s="25" t="s">
        <v>135</v>
      </c>
    </row>
    <row r="27" customFormat="false" ht="15" hidden="false" customHeight="true" outlineLevel="0" collapsed="false">
      <c r="A27" s="23" t="s">
        <v>136</v>
      </c>
      <c r="B27" s="23"/>
      <c r="C27" s="23"/>
      <c r="D27" s="23"/>
      <c r="E27" s="23"/>
      <c r="F27" s="23"/>
    </row>
    <row r="28" customFormat="false" ht="15.75" hidden="false" customHeight="true" outlineLevel="0" collapsed="false">
      <c r="B28" s="6" t="s">
        <v>137</v>
      </c>
      <c r="C28" s="10" t="n">
        <v>1</v>
      </c>
      <c r="D28" s="24" t="s">
        <v>111</v>
      </c>
      <c r="E28" s="25" t="s">
        <v>138</v>
      </c>
    </row>
    <row r="29" customFormat="false" ht="24" hidden="false" customHeight="true" outlineLevel="0" collapsed="false">
      <c r="B29" s="6" t="s">
        <v>139</v>
      </c>
      <c r="C29" s="7" t="s">
        <v>55</v>
      </c>
      <c r="D29" s="24" t="s">
        <v>111</v>
      </c>
      <c r="E29" s="25" t="s">
        <v>140</v>
      </c>
    </row>
    <row r="30" customFormat="false" ht="24" hidden="false" customHeight="true" outlineLevel="0" collapsed="false">
      <c r="B30" s="6" t="s">
        <v>141</v>
      </c>
      <c r="C30" s="7" t="s">
        <v>142</v>
      </c>
      <c r="D30" s="24" t="s">
        <v>111</v>
      </c>
      <c r="E30" s="25" t="s">
        <v>143</v>
      </c>
    </row>
    <row r="31" customFormat="false" ht="24" hidden="false" customHeight="true" outlineLevel="0" collapsed="false">
      <c r="B31" s="6" t="s">
        <v>144</v>
      </c>
      <c r="C31" s="7" t="s">
        <v>145</v>
      </c>
      <c r="D31" s="24" t="s">
        <v>111</v>
      </c>
      <c r="E31" s="25" t="s">
        <v>146</v>
      </c>
    </row>
    <row r="32" customFormat="false" ht="15" hidden="false" customHeight="true" outlineLevel="0" collapsed="false">
      <c r="A32" s="23" t="s">
        <v>147</v>
      </c>
      <c r="B32" s="23"/>
      <c r="C32" s="23"/>
      <c r="D32" s="23"/>
      <c r="E32" s="23"/>
      <c r="F32" s="23"/>
    </row>
    <row r="33" customFormat="false" ht="15.75" hidden="false" customHeight="true" outlineLevel="0" collapsed="false">
      <c r="B33" s="6" t="s">
        <v>148</v>
      </c>
      <c r="C33" s="10" t="n">
        <v>0</v>
      </c>
      <c r="D33" s="24" t="s">
        <v>149</v>
      </c>
      <c r="E33" s="25" t="s">
        <v>150</v>
      </c>
    </row>
    <row r="34" customFormat="false" ht="24" hidden="false" customHeight="true" outlineLevel="0" collapsed="false">
      <c r="B34" s="6" t="s">
        <v>151</v>
      </c>
      <c r="C34" s="7" t="s">
        <v>55</v>
      </c>
      <c r="D34" s="24" t="s">
        <v>149</v>
      </c>
      <c r="E34" s="25" t="s">
        <v>152</v>
      </c>
    </row>
    <row r="35" customFormat="false" ht="24" hidden="false" customHeight="true" outlineLevel="0" collapsed="false">
      <c r="B35" s="6" t="s">
        <v>153</v>
      </c>
      <c r="C35" s="7" t="s">
        <v>55</v>
      </c>
      <c r="D35" s="24" t="s">
        <v>149</v>
      </c>
      <c r="E35" s="25" t="s">
        <v>154</v>
      </c>
    </row>
    <row r="36" customFormat="false" ht="15" hidden="false" customHeight="true" outlineLevel="0" collapsed="false">
      <c r="A36" s="23" t="s">
        <v>155</v>
      </c>
      <c r="B36" s="23"/>
      <c r="C36" s="23"/>
      <c r="D36" s="23"/>
      <c r="E36" s="23"/>
      <c r="F36" s="23"/>
    </row>
    <row r="37" customFormat="false" ht="24" hidden="false" customHeight="true" outlineLevel="0" collapsed="false">
      <c r="B37" s="6" t="s">
        <v>156</v>
      </c>
      <c r="C37" s="10" t="n">
        <v>55000</v>
      </c>
      <c r="D37" s="24" t="s">
        <v>157</v>
      </c>
      <c r="E37" s="25" t="s">
        <v>158</v>
      </c>
    </row>
    <row r="39" customFormat="false" ht="16.5" hidden="false" customHeight="true" outlineLevel="0" collapsed="false">
      <c r="A39" s="3" t="s">
        <v>159</v>
      </c>
      <c r="B39" s="3"/>
      <c r="C39" s="3"/>
      <c r="D39" s="3"/>
      <c r="E39" s="3"/>
      <c r="F39" s="3"/>
    </row>
    <row r="40" customFormat="false" ht="19.5" hidden="false" customHeight="true" outlineLevel="0" collapsed="false">
      <c r="A40" s="18"/>
      <c r="B40" s="18" t="s">
        <v>160</v>
      </c>
      <c r="C40" s="18" t="s">
        <v>161</v>
      </c>
      <c r="D40" s="18" t="s">
        <v>162</v>
      </c>
      <c r="E40" s="18" t="s">
        <v>163</v>
      </c>
      <c r="F40" s="18"/>
    </row>
    <row r="41" customFormat="false" ht="15.75" hidden="false" customHeight="true" outlineLevel="0" collapsed="false">
      <c r="B41" s="13" t="s">
        <v>164</v>
      </c>
      <c r="C41" s="28" t="str">
        <f aca="false">IFERROR(INDEX(Factors!$A$4:$A$12,MATCH(C13,Factors!$B$4:$B$12,1)),"enter Q1")</f>
        <v>500 to below 1,000</v>
      </c>
      <c r="D41" s="29" t="n">
        <f aca="false">IFERROR(INDEX(Factors!$D$4:$D$12,MATCH(C13,Factors!$B$4:$B$12,1)),"enter Q1")</f>
        <v>25000</v>
      </c>
      <c r="E41" s="30" t="s">
        <v>165</v>
      </c>
    </row>
    <row r="42" customFormat="false" ht="15.75" hidden="false" customHeight="true" outlineLevel="0" collapsed="false">
      <c r="B42" s="13" t="s">
        <v>166</v>
      </c>
      <c r="C42" s="7" t="s">
        <v>167</v>
      </c>
      <c r="D42" s="31" t="n">
        <f aca="false">IFERROR(INDEX(Factors!$B$16:$B$22,MATCH(C42,Factors!$A$16:$A$22,0)),"select")</f>
        <v>1</v>
      </c>
      <c r="E42" s="25" t="s">
        <v>168</v>
      </c>
    </row>
    <row r="43" customFormat="false" ht="15.75" hidden="false" customHeight="true" outlineLevel="0" collapsed="false">
      <c r="B43" s="6" t="s">
        <v>169</v>
      </c>
      <c r="D43" s="29" t="n">
        <f aca="false">IFERROR(INDEX(Factors!$C$16:$C$22,MATCH(C42,Factors!$A$16:$A$22,0)),0)</f>
        <v>10</v>
      </c>
      <c r="E43" s="25" t="s">
        <v>170</v>
      </c>
    </row>
    <row r="44" customFormat="false" ht="15.75" hidden="false" customHeight="true" outlineLevel="0" collapsed="false">
      <c r="B44" s="13" t="s">
        <v>171</v>
      </c>
      <c r="C44" s="7" t="s">
        <v>172</v>
      </c>
      <c r="D44" s="31" t="n">
        <f aca="false">IFERROR(INDEX(Factors!$C$26:$C$30,MATCH(C44,Factors!$A$26:$A$30,0)),"select")</f>
        <v>1</v>
      </c>
      <c r="E44" s="25" t="s">
        <v>173</v>
      </c>
    </row>
    <row r="45" customFormat="false" ht="15.75" hidden="false" customHeight="true" outlineLevel="0" collapsed="false">
      <c r="B45" s="13" t="s">
        <v>174</v>
      </c>
      <c r="C45" s="7" t="s">
        <v>175</v>
      </c>
      <c r="D45" s="31" t="n">
        <f aca="false">IFERROR(INDEX(Factors!$C$34:$C$38,MATCH(C45,Factors!$A$34:$A$38,0)),"select")</f>
        <v>1</v>
      </c>
      <c r="E45" s="25" t="s">
        <v>176</v>
      </c>
    </row>
    <row r="47" customFormat="false" ht="16.5" hidden="false" customHeight="true" outlineLevel="0" collapsed="false">
      <c r="A47" s="3" t="s">
        <v>177</v>
      </c>
      <c r="B47" s="3"/>
      <c r="C47" s="3"/>
      <c r="D47" s="3"/>
      <c r="E47" s="3"/>
      <c r="F47" s="3"/>
    </row>
    <row r="48" customFormat="false" ht="19.5" hidden="false" customHeight="true" outlineLevel="0" collapsed="false">
      <c r="A48" s="18"/>
      <c r="B48" s="18" t="s">
        <v>178</v>
      </c>
      <c r="C48" s="18" t="s">
        <v>162</v>
      </c>
      <c r="D48" s="18" t="s">
        <v>179</v>
      </c>
      <c r="E48" s="18" t="s">
        <v>180</v>
      </c>
      <c r="F48" s="18"/>
    </row>
    <row r="49" customFormat="false" ht="30" hidden="false" customHeight="true" outlineLevel="0" collapsed="false">
      <c r="B49" s="6" t="s">
        <v>181</v>
      </c>
      <c r="C49" s="27" t="n">
        <v>1.05</v>
      </c>
      <c r="D49" s="32" t="s">
        <v>182</v>
      </c>
      <c r="E49" s="25" t="s">
        <v>183</v>
      </c>
    </row>
    <row r="50" customFormat="false" ht="30" hidden="false" customHeight="true" outlineLevel="0" collapsed="false">
      <c r="B50" s="6" t="s">
        <v>184</v>
      </c>
      <c r="C50" s="27" t="n">
        <v>1.1</v>
      </c>
      <c r="D50" s="32" t="s">
        <v>185</v>
      </c>
      <c r="E50" s="25" t="s">
        <v>186</v>
      </c>
    </row>
    <row r="51" customFormat="false" ht="30" hidden="false" customHeight="true" outlineLevel="0" collapsed="false">
      <c r="B51" s="6" t="s">
        <v>187</v>
      </c>
      <c r="C51" s="27" t="n">
        <v>1.1</v>
      </c>
      <c r="D51" s="32" t="s">
        <v>188</v>
      </c>
      <c r="E51" s="25" t="s">
        <v>189</v>
      </c>
    </row>
    <row r="52" customFormat="false" ht="30" hidden="false" customHeight="true" outlineLevel="0" collapsed="false">
      <c r="B52" s="6" t="s">
        <v>190</v>
      </c>
      <c r="C52" s="27" t="n">
        <v>1.1</v>
      </c>
      <c r="D52" s="32" t="s">
        <v>191</v>
      </c>
      <c r="E52" s="25" t="s">
        <v>192</v>
      </c>
    </row>
    <row r="53" customFormat="false" ht="30" hidden="false" customHeight="true" outlineLevel="0" collapsed="false">
      <c r="B53" s="6" t="s">
        <v>193</v>
      </c>
      <c r="C53" s="27" t="n">
        <v>0.95</v>
      </c>
      <c r="D53" s="32" t="s">
        <v>194</v>
      </c>
      <c r="E53" s="25" t="s">
        <v>195</v>
      </c>
    </row>
    <row r="54" customFormat="false" ht="15.75" hidden="false" customHeight="true" outlineLevel="0" collapsed="false">
      <c r="B54" s="6" t="s">
        <v>196</v>
      </c>
      <c r="D54" s="31" t="n">
        <f aca="false">PRODUCT(C49:C53)</f>
        <v>1.3276725</v>
      </c>
      <c r="E54" s="25" t="s">
        <v>197</v>
      </c>
    </row>
    <row r="55" customFormat="false" ht="15.75" hidden="false" customHeight="true" outlineLevel="0" collapsed="false">
      <c r="B55" s="33" t="s">
        <v>198</v>
      </c>
      <c r="D55" s="34" t="n">
        <f aca="false">MAX(Factors!$C$43,MIN(Factors!$C$44,D54))</f>
        <v>1.3276725</v>
      </c>
      <c r="E55" s="25" t="s">
        <v>199</v>
      </c>
    </row>
    <row r="57" customFormat="false" ht="16.5" hidden="false" customHeight="true" outlineLevel="0" collapsed="false">
      <c r="A57" s="3" t="s">
        <v>200</v>
      </c>
      <c r="B57" s="3"/>
      <c r="C57" s="3"/>
      <c r="D57" s="3"/>
      <c r="E57" s="3"/>
      <c r="F57" s="3"/>
    </row>
    <row r="58" customFormat="false" ht="15" hidden="false" customHeight="true" outlineLevel="0" collapsed="false">
      <c r="A58" s="23" t="s">
        <v>201</v>
      </c>
      <c r="B58" s="23"/>
      <c r="C58" s="23"/>
      <c r="D58" s="23"/>
      <c r="E58" s="23"/>
      <c r="F58" s="23"/>
    </row>
    <row r="59" customFormat="false" ht="19.5" hidden="false" customHeight="true" outlineLevel="0" collapsed="false">
      <c r="A59" s="18"/>
      <c r="B59" s="18" t="s">
        <v>202</v>
      </c>
      <c r="C59" s="18" t="s">
        <v>203</v>
      </c>
      <c r="D59" s="18" t="s">
        <v>204</v>
      </c>
      <c r="E59" s="18" t="s">
        <v>205</v>
      </c>
      <c r="F59" s="18"/>
    </row>
    <row r="60" customFormat="false" ht="24" hidden="false" customHeight="true" outlineLevel="0" collapsed="false">
      <c r="B60" s="6" t="s">
        <v>206</v>
      </c>
      <c r="C60" s="10" t="n">
        <v>250000</v>
      </c>
      <c r="D60" s="29" t="n">
        <f aca="false">D43*1000000*0.1</f>
        <v>1000000</v>
      </c>
      <c r="E60" s="25" t="s">
        <v>207</v>
      </c>
    </row>
    <row r="61" customFormat="false" ht="24" hidden="false" customHeight="true" outlineLevel="0" collapsed="false">
      <c r="B61" s="6" t="s">
        <v>208</v>
      </c>
      <c r="C61" s="10" t="n">
        <v>2500000</v>
      </c>
      <c r="D61" s="29" t="n">
        <f aca="false">MIN(D43*1000000*0.25,5000000)</f>
        <v>2500000</v>
      </c>
      <c r="E61" s="25" t="s">
        <v>209</v>
      </c>
    </row>
    <row r="62" customFormat="false" ht="24" hidden="false" customHeight="true" outlineLevel="0" collapsed="false">
      <c r="B62" s="6" t="s">
        <v>210</v>
      </c>
      <c r="C62" s="10" t="n">
        <v>500000</v>
      </c>
      <c r="D62" s="29" t="n">
        <f aca="false">MIN(D43*1000000*0.1,500000)</f>
        <v>500000</v>
      </c>
      <c r="E62" s="25" t="s">
        <v>211</v>
      </c>
    </row>
    <row r="63" customFormat="false" ht="24" hidden="false" customHeight="true" outlineLevel="0" collapsed="false">
      <c r="B63" s="6" t="s">
        <v>212</v>
      </c>
      <c r="C63" s="10" t="n">
        <v>250000</v>
      </c>
      <c r="D63" s="29" t="n">
        <f aca="false">MIN(D43*1000000*0.05,250000)</f>
        <v>250000</v>
      </c>
      <c r="E63" s="25" t="s">
        <v>213</v>
      </c>
    </row>
    <row r="64" customFormat="false" ht="24" hidden="false" customHeight="true" outlineLevel="0" collapsed="false">
      <c r="B64" s="6" t="s">
        <v>214</v>
      </c>
      <c r="C64" s="10" t="n">
        <v>250000</v>
      </c>
      <c r="D64" s="29" t="n">
        <f aca="false">MIN(D43*1000000*0.05,250000)</f>
        <v>250000</v>
      </c>
      <c r="E64" s="25" t="s">
        <v>215</v>
      </c>
    </row>
    <row r="65" customFormat="false" ht="24" hidden="false" customHeight="true" outlineLevel="0" collapsed="false">
      <c r="B65" s="6" t="s">
        <v>216</v>
      </c>
      <c r="C65" s="10" t="n">
        <v>100000</v>
      </c>
      <c r="D65" s="29" t="n">
        <f aca="false">MIN(D43*1000000*0.02,100000)</f>
        <v>100000</v>
      </c>
      <c r="E65" s="25" t="s">
        <v>217</v>
      </c>
    </row>
    <row r="66" customFormat="false" ht="24" hidden="false" customHeight="true" outlineLevel="0" collapsed="false">
      <c r="B66" s="6" t="s">
        <v>218</v>
      </c>
      <c r="C66" s="10" t="n">
        <v>100000</v>
      </c>
      <c r="D66" s="29" t="n">
        <f aca="false">MIN(D43*1000000*0.02,100000)</f>
        <v>100000</v>
      </c>
      <c r="E66" s="25" t="s">
        <v>219</v>
      </c>
    </row>
    <row r="67" customFormat="false" ht="24" hidden="false" customHeight="true" outlineLevel="0" collapsed="false">
      <c r="B67" s="6" t="s">
        <v>220</v>
      </c>
      <c r="C67" s="10" t="n">
        <v>10000000</v>
      </c>
      <c r="D67" s="29" t="n">
        <f aca="false">D43*1000000</f>
        <v>10000000</v>
      </c>
      <c r="E67" s="25" t="s">
        <v>221</v>
      </c>
    </row>
    <row r="68" customFormat="false" ht="24" hidden="false" customHeight="true" outlineLevel="0" collapsed="false">
      <c r="B68" s="8" t="s">
        <v>222</v>
      </c>
      <c r="C68" s="8"/>
      <c r="D68" s="8"/>
      <c r="E68" s="8"/>
      <c r="F68" s="8"/>
    </row>
    <row r="70" customFormat="false" ht="15" hidden="false" customHeight="true" outlineLevel="0" collapsed="false">
      <c r="A70" s="23" t="s">
        <v>223</v>
      </c>
      <c r="B70" s="23"/>
      <c r="C70" s="23"/>
      <c r="D70" s="23"/>
      <c r="E70" s="23"/>
      <c r="F70" s="23"/>
    </row>
    <row r="71" customFormat="false" ht="25.5" hidden="false" customHeight="true" outlineLevel="0" collapsed="false">
      <c r="B71" s="35" t="s">
        <v>224</v>
      </c>
      <c r="C71" s="35"/>
      <c r="D71" s="35"/>
      <c r="E71" s="35"/>
      <c r="F71" s="35"/>
    </row>
    <row r="72" customFormat="false" ht="15" hidden="false" customHeight="false" outlineLevel="0" collapsed="false">
      <c r="B72" s="35"/>
      <c r="C72" s="35"/>
      <c r="D72" s="35"/>
      <c r="E72" s="35"/>
      <c r="F72" s="35"/>
    </row>
    <row r="74" customFormat="false" ht="15" hidden="false" customHeight="true" outlineLevel="0" collapsed="false">
      <c r="A74" s="23" t="s">
        <v>225</v>
      </c>
      <c r="B74" s="23"/>
      <c r="C74" s="23"/>
      <c r="D74" s="23"/>
      <c r="E74" s="23"/>
      <c r="F74" s="23"/>
    </row>
    <row r="75" customFormat="false" ht="19.5" hidden="false" customHeight="true" outlineLevel="0" collapsed="false">
      <c r="A75" s="18"/>
      <c r="B75" s="18" t="s">
        <v>226</v>
      </c>
      <c r="C75" s="18" t="s">
        <v>227</v>
      </c>
      <c r="D75" s="18" t="s">
        <v>228</v>
      </c>
      <c r="E75" s="18" t="s">
        <v>229</v>
      </c>
      <c r="F75" s="18" t="s">
        <v>230</v>
      </c>
    </row>
    <row r="76" customFormat="false" ht="25.5" hidden="false" customHeight="true" outlineLevel="0" collapsed="false">
      <c r="B76" s="6" t="s">
        <v>231</v>
      </c>
      <c r="C76" s="7" t="s">
        <v>54</v>
      </c>
      <c r="D76" s="28" t="str">
        <f aca="false">IF(C23&gt;0.15,"Apply","Not indicated")</f>
        <v>Apply</v>
      </c>
      <c r="E76" s="25" t="s">
        <v>232</v>
      </c>
      <c r="F76" s="36" t="n">
        <f aca="false">IF(C76="Yes",-0.025,0)</f>
        <v>-0.025</v>
      </c>
    </row>
    <row r="77" customFormat="false" ht="25.5" hidden="false" customHeight="true" outlineLevel="0" collapsed="false">
      <c r="B77" s="6" t="s">
        <v>233</v>
      </c>
      <c r="C77" s="7" t="s">
        <v>55</v>
      </c>
      <c r="D77" s="28" t="str">
        <f aca="false">IF(C30&lt;&gt;"None","Apply","Not indicated")</f>
        <v>Not indicated</v>
      </c>
      <c r="E77" s="25" t="s">
        <v>234</v>
      </c>
      <c r="F77" s="36" t="n">
        <f aca="false">IF(C77="Yes",-0.1,0)</f>
        <v>0</v>
      </c>
    </row>
    <row r="78" customFormat="false" ht="25.5" hidden="false" customHeight="true" outlineLevel="0" collapsed="false">
      <c r="B78" s="6" t="s">
        <v>235</v>
      </c>
      <c r="C78" s="7" t="s">
        <v>55</v>
      </c>
      <c r="D78" s="28" t="str">
        <f aca="false">IF(C31="IPO or RTO","Apply","Not indicated")</f>
        <v>Not indicated</v>
      </c>
      <c r="E78" s="25" t="s">
        <v>236</v>
      </c>
      <c r="F78" s="36" t="n">
        <f aca="false">IF(C78="Yes",-0.05,0)</f>
        <v>0</v>
      </c>
    </row>
    <row r="79" customFormat="false" ht="25.5" hidden="false" customHeight="true" outlineLevel="0" collapsed="false">
      <c r="B79" s="6" t="s">
        <v>237</v>
      </c>
      <c r="C79" s="7" t="s">
        <v>54</v>
      </c>
      <c r="D79" s="28" t="str">
        <f aca="false">IF(C20="Yes","Apply","Not indicated")</f>
        <v>Apply</v>
      </c>
      <c r="E79" s="25" t="s">
        <v>238</v>
      </c>
      <c r="F79" s="36" t="n">
        <f aca="false">IF(C79="Yes",-0.05,0)</f>
        <v>-0.05</v>
      </c>
    </row>
    <row r="80" customFormat="false" ht="25.5" hidden="false" customHeight="true" outlineLevel="0" collapsed="false">
      <c r="B80" s="6" t="s">
        <v>239</v>
      </c>
      <c r="C80" s="7" t="s">
        <v>55</v>
      </c>
      <c r="D80" s="28" t="str">
        <f aca="false">IF(C29="Yes","Apply","Not indicated")</f>
        <v>Not indicated</v>
      </c>
      <c r="E80" s="25" t="s">
        <v>240</v>
      </c>
      <c r="F80" s="36" t="n">
        <f aca="false">IF(C80="Yes",-0.05,0)</f>
        <v>0</v>
      </c>
    </row>
    <row r="81" customFormat="false" ht="25.5" hidden="false" customHeight="true" outlineLevel="0" collapsed="false">
      <c r="B81" s="6" t="s">
        <v>241</v>
      </c>
      <c r="C81" s="7" t="s">
        <v>54</v>
      </c>
      <c r="D81" s="28" t="str">
        <f aca="false">IF(C23&gt;0.3,"Apply","Not indicated")</f>
        <v>Apply</v>
      </c>
      <c r="E81" s="25" t="s">
        <v>242</v>
      </c>
      <c r="F81" s="36" t="n">
        <f aca="false">IF(C81="Yes",-0.05,0)</f>
        <v>-0.05</v>
      </c>
    </row>
    <row r="82" customFormat="false" ht="25.5" hidden="false" customHeight="true" outlineLevel="0" collapsed="false">
      <c r="B82" s="6" t="s">
        <v>243</v>
      </c>
      <c r="C82" s="7" t="s">
        <v>55</v>
      </c>
      <c r="D82" s="28" t="str">
        <f aca="false">IF(C16&gt;0.75,"Apply","Not indicated")</f>
        <v>Not indicated</v>
      </c>
      <c r="E82" s="25" t="s">
        <v>244</v>
      </c>
      <c r="F82" s="36" t="n">
        <f aca="false">IF(C82="Yes",-0.075,0)</f>
        <v>0</v>
      </c>
    </row>
    <row r="83" customFormat="false" ht="25.5" hidden="false" customHeight="true" outlineLevel="0" collapsed="false">
      <c r="B83" s="6" t="s">
        <v>245</v>
      </c>
      <c r="C83" s="7" t="s">
        <v>55</v>
      </c>
      <c r="D83" s="28" t="str">
        <f aca="false">IF(C19="None","Apply","Not indicated")</f>
        <v>Not indicated</v>
      </c>
      <c r="E83" s="25" t="s">
        <v>246</v>
      </c>
      <c r="F83" s="36" t="n">
        <f aca="false">IF(C83="Yes",-0.05,0)</f>
        <v>0</v>
      </c>
    </row>
    <row r="84" customFormat="false" ht="25.5" hidden="false" customHeight="true" outlineLevel="0" collapsed="false">
      <c r="B84" s="6" t="s">
        <v>247</v>
      </c>
      <c r="C84" s="7" t="s">
        <v>55</v>
      </c>
      <c r="D84" s="28" t="str">
        <f aca="false">IF(OR(C33&gt;0,C34="Yes"),"Apply","Not indicated")</f>
        <v>Not indicated</v>
      </c>
      <c r="E84" s="25" t="s">
        <v>248</v>
      </c>
      <c r="F84" s="36" t="n">
        <f aca="false">IF(C84="Yes",-0.025,0)</f>
        <v>0</v>
      </c>
    </row>
    <row r="85" customFormat="false" ht="25.5" hidden="false" customHeight="true" outlineLevel="0" collapsed="false">
      <c r="B85" s="6" t="s">
        <v>249</v>
      </c>
      <c r="C85" s="7" t="s">
        <v>55</v>
      </c>
      <c r="D85" s="28" t="str">
        <f aca="false">"Optional"</f>
        <v>Optional</v>
      </c>
      <c r="E85" s="25" t="s">
        <v>250</v>
      </c>
      <c r="F85" s="36" t="n">
        <f aca="false">IF(C85="Yes",0.05,0)</f>
        <v>0</v>
      </c>
    </row>
    <row r="86" customFormat="false" ht="25.5" hidden="false" customHeight="true" outlineLevel="0" collapsed="false">
      <c r="B86" s="6" t="s">
        <v>251</v>
      </c>
      <c r="C86" s="7" t="s">
        <v>55</v>
      </c>
      <c r="D86" s="28" t="str">
        <f aca="false">"Optional"</f>
        <v>Optional</v>
      </c>
      <c r="E86" s="25" t="s">
        <v>252</v>
      </c>
      <c r="F86" s="36" t="n">
        <f aca="false">IF(C86="Yes",0.075,0)</f>
        <v>0</v>
      </c>
    </row>
    <row r="87" customFormat="false" ht="25.5" hidden="false" customHeight="true" outlineLevel="0" collapsed="false">
      <c r="B87" s="6" t="s">
        <v>253</v>
      </c>
      <c r="C87" s="7" t="s">
        <v>55</v>
      </c>
      <c r="D87" s="28" t="str">
        <f aca="false">"Optional"</f>
        <v>Optional</v>
      </c>
      <c r="E87" s="25" t="s">
        <v>254</v>
      </c>
      <c r="F87" s="36" t="n">
        <f aca="false">IF(C87="Yes",0.05,0)</f>
        <v>0</v>
      </c>
    </row>
    <row r="88" customFormat="false" ht="25.5" hidden="false" customHeight="true" outlineLevel="0" collapsed="false">
      <c r="B88" s="6" t="s">
        <v>255</v>
      </c>
      <c r="C88" s="7" t="s">
        <v>55</v>
      </c>
      <c r="D88" s="28" t="str">
        <f aca="false">"Optional"</f>
        <v>Optional</v>
      </c>
      <c r="E88" s="25" t="s">
        <v>256</v>
      </c>
      <c r="F88" s="36" t="n">
        <f aca="false">IF(C88="Yes",0.025,0)</f>
        <v>0</v>
      </c>
    </row>
    <row r="89" customFormat="false" ht="15.75" hidden="false" customHeight="true" outlineLevel="0" collapsed="false">
      <c r="B89" s="33" t="s">
        <v>257</v>
      </c>
      <c r="D89" s="34" t="n">
        <f aca="false">MAX(0.7,MIN(1.3,1+SUM(F76:F88)))</f>
        <v>0.875</v>
      </c>
      <c r="E89" s="25" t="s">
        <v>258</v>
      </c>
    </row>
    <row r="90" customFormat="false" ht="24" hidden="false" customHeight="true" outlineLevel="0" collapsed="false">
      <c r="B90" s="22" t="s">
        <v>259</v>
      </c>
      <c r="C90" s="22"/>
      <c r="D90" s="22"/>
      <c r="E90" s="22"/>
      <c r="F90" s="22"/>
    </row>
    <row r="91" customFormat="false" ht="15" hidden="false" customHeight="false" outlineLevel="0" collapsed="false">
      <c r="B91" s="22"/>
      <c r="C91" s="22"/>
      <c r="D91" s="22"/>
      <c r="E91" s="22"/>
      <c r="F91" s="22"/>
    </row>
    <row r="93" customFormat="false" ht="16.5" hidden="false" customHeight="true" outlineLevel="0" collapsed="false">
      <c r="A93" s="3" t="s">
        <v>260</v>
      </c>
      <c r="B93" s="3"/>
      <c r="C93" s="3"/>
      <c r="D93" s="3"/>
      <c r="E93" s="3"/>
      <c r="F93" s="3"/>
    </row>
    <row r="94" customFormat="false" ht="15.75" hidden="false" customHeight="true" outlineLevel="0" collapsed="false">
      <c r="B94" s="6" t="s">
        <v>261</v>
      </c>
      <c r="D94" s="29" t="n">
        <f aca="false">IFERROR(D41*D42*D44*D45*D55*D89,"complete Parts 1-4")</f>
        <v>29042.8359375</v>
      </c>
      <c r="E94" s="25" t="s">
        <v>262</v>
      </c>
    </row>
    <row r="95" customFormat="false" ht="15.75" hidden="false" customHeight="true" outlineLevel="0" collapsed="false">
      <c r="B95" s="6" t="s">
        <v>263</v>
      </c>
      <c r="C95" s="26" t="n">
        <v>0.55</v>
      </c>
      <c r="E95" s="25" t="s">
        <v>264</v>
      </c>
    </row>
    <row r="96" customFormat="false" ht="15.75" hidden="false" customHeight="true" outlineLevel="0" collapsed="false">
      <c r="B96" s="6" t="s">
        <v>265</v>
      </c>
      <c r="D96" s="29" t="n">
        <f aca="false">IFERROR(D94/C95,"complete Parts 1-4")</f>
        <v>52805.15625</v>
      </c>
      <c r="E96" s="25" t="s">
        <v>266</v>
      </c>
    </row>
    <row r="97" customFormat="false" ht="15.75" hidden="false" customHeight="true" outlineLevel="0" collapsed="false">
      <c r="B97" s="6" t="s">
        <v>267</v>
      </c>
      <c r="C97" s="27" t="n">
        <v>1</v>
      </c>
      <c r="E97" s="25" t="s">
        <v>268</v>
      </c>
    </row>
    <row r="98" customFormat="false" ht="15.75" hidden="false" customHeight="true" outlineLevel="0" collapsed="false">
      <c r="B98" s="6" t="s">
        <v>269</v>
      </c>
      <c r="C98" s="26" t="n">
        <v>1</v>
      </c>
      <c r="E98" s="25" t="s">
        <v>270</v>
      </c>
    </row>
    <row r="99" customFormat="false" ht="15.75" hidden="false" customHeight="true" outlineLevel="0" collapsed="false">
      <c r="B99" s="6" t="s">
        <v>271</v>
      </c>
      <c r="D99" s="29" t="n">
        <f aca="false">IFERROR(D96*C97*C98,"complete Parts 1-4")</f>
        <v>52805.15625</v>
      </c>
    </row>
    <row r="100" customFormat="false" ht="15.75" hidden="false" customHeight="true" outlineLevel="0" collapsed="false">
      <c r="B100" s="6" t="s">
        <v>272</v>
      </c>
      <c r="D100" s="29" t="n">
        <f aca="false">Factors!$C$42</f>
        <v>7500</v>
      </c>
      <c r="E100" s="25" t="s">
        <v>273</v>
      </c>
    </row>
    <row r="101" customFormat="false" ht="21.75" hidden="false" customHeight="true" outlineLevel="0" collapsed="false">
      <c r="B101" s="33" t="s">
        <v>274</v>
      </c>
      <c r="D101" s="37" t="n">
        <f aca="false">IF(ISNUMBER(D99),MAX(D99,D100),"complete Parts 1-4")</f>
        <v>52805.15625</v>
      </c>
      <c r="E101" s="25" t="s">
        <v>275</v>
      </c>
    </row>
    <row r="102" customFormat="false" ht="15.75" hidden="false" customHeight="true" outlineLevel="0" collapsed="false">
      <c r="B102" s="6" t="s">
        <v>276</v>
      </c>
      <c r="D102" s="38" t="n">
        <f aca="false">IFERROR(IF(C37=0,"New business",D101/C37-1),"n/a")</f>
        <v>-0.0399062499999996</v>
      </c>
      <c r="E102" s="25" t="s">
        <v>277</v>
      </c>
    </row>
    <row r="103" customFormat="false" ht="15.75" hidden="false" customHeight="true" outlineLevel="0" collapsed="false">
      <c r="B103" s="6" t="s">
        <v>278</v>
      </c>
      <c r="D103" s="29" t="n">
        <f aca="false">IFERROR(D101/(D43*C98),"n/a")</f>
        <v>5280.515625</v>
      </c>
      <c r="E103" s="25" t="s">
        <v>279</v>
      </c>
    </row>
    <row r="105" customFormat="false" ht="16.5" hidden="false" customHeight="true" outlineLevel="0" collapsed="false">
      <c r="A105" s="3" t="s">
        <v>280</v>
      </c>
      <c r="B105" s="3"/>
      <c r="C105" s="3"/>
      <c r="D105" s="3"/>
      <c r="E105" s="3"/>
      <c r="F105" s="3"/>
    </row>
    <row r="106" customFormat="false" ht="19.5" hidden="false" customHeight="true" outlineLevel="0" collapsed="false">
      <c r="A106" s="18"/>
      <c r="B106" s="18" t="s">
        <v>281</v>
      </c>
      <c r="C106" s="18" t="s">
        <v>282</v>
      </c>
      <c r="D106" s="18" t="s">
        <v>283</v>
      </c>
      <c r="E106" s="18"/>
      <c r="F106" s="18"/>
    </row>
    <row r="107" customFormat="false" ht="15" hidden="false" customHeight="true" outlineLevel="0" collapsed="false">
      <c r="B107" s="39" t="s">
        <v>284</v>
      </c>
      <c r="C107" s="28" t="str">
        <f aca="false">IF(OR(NOT(ISNUMBER(C13)),C13&lt;=0,D42="select",D44="select",D45="select",COUNT(C49:C53)&lt;5,NOT(ISNUMBER(C98)),C98&lt;=0,C98&gt;1,C95&lt;=0.2,C95&gt;=0.9),"YES","No")</f>
        <v>No</v>
      </c>
      <c r="D107" s="40" t="s">
        <v>285</v>
      </c>
    </row>
    <row r="108" customFormat="false" ht="15" hidden="false" customHeight="true" outlineLevel="0" collapsed="false">
      <c r="B108" s="39" t="s">
        <v>286</v>
      </c>
      <c r="C108" s="28" t="str">
        <f aca="false">IF(COUNTA(C13:C37)&lt;20,"YES","No")</f>
        <v>No</v>
      </c>
      <c r="D108" s="40" t="s">
        <v>285</v>
      </c>
    </row>
    <row r="109" customFormat="false" ht="15" hidden="false" customHeight="true" outlineLevel="0" collapsed="false">
      <c r="B109" s="39" t="s">
        <v>287</v>
      </c>
      <c r="C109" s="28" t="str">
        <f aca="false">IF(COUNT(C60:C67)&lt;8,"YES","No")</f>
        <v>No</v>
      </c>
      <c r="D109" s="40" t="s">
        <v>285</v>
      </c>
    </row>
    <row r="110" customFormat="false" ht="15" hidden="false" customHeight="true" outlineLevel="0" collapsed="false">
      <c r="B110" s="39" t="s">
        <v>288</v>
      </c>
      <c r="C110" s="28" t="str">
        <f aca="false">IF(OR(C14&gt;1,C16&gt;1,C22&gt;1,C23&gt;1,C15&lt;-1,C15&gt;3,AND(C14&gt;0,C14&lt;0.05),AND(C22&gt;0,C22&lt;0.05),AND(C23&gt;0,C23&lt;0.01)),"YES","No")</f>
        <v>No</v>
      </c>
      <c r="D110" s="40" t="s">
        <v>285</v>
      </c>
    </row>
    <row r="111" customFormat="false" ht="15" hidden="false" customHeight="true" outlineLevel="0" collapsed="false">
      <c r="B111" s="39" t="s">
        <v>289</v>
      </c>
      <c r="C111" s="28" t="str">
        <f aca="false">IF(AND(COUNT(C49:C53)=5,OR(MIN(C49:C53)&lt;0.85,MAX(C49:C53)&gt;2)),"YES","No")</f>
        <v>No</v>
      </c>
      <c r="D111" s="40" t="s">
        <v>290</v>
      </c>
    </row>
    <row r="112" customFormat="false" ht="15" hidden="false" customHeight="true" outlineLevel="0" collapsed="false">
      <c r="B112" s="39" t="s">
        <v>291</v>
      </c>
      <c r="C112" s="28" t="str">
        <f aca="false">IF(SUMPRODUCT((D76:D88="Apply")*(C76:C88&lt;&gt;"Yes"))&gt;0,"YES","No")</f>
        <v>No</v>
      </c>
      <c r="D112" s="40" t="s">
        <v>290</v>
      </c>
    </row>
    <row r="113" customFormat="false" ht="15" hidden="false" customHeight="true" outlineLevel="0" collapsed="false">
      <c r="B113" s="39" t="s">
        <v>292</v>
      </c>
      <c r="C113" s="28" t="str">
        <f aca="false">IF(OR(C13&lt;50,C13&gt;=10000),"YES","No")</f>
        <v>No</v>
      </c>
      <c r="D113" s="40" t="s">
        <v>290</v>
      </c>
    </row>
    <row r="114" customFormat="false" ht="15" hidden="false" customHeight="true" outlineLevel="0" collapsed="false">
      <c r="B114" s="39" t="s">
        <v>293</v>
      </c>
      <c r="C114" s="28" t="str">
        <f aca="false">IF(C24&lt;&gt;"Unqualified","YES","No")</f>
        <v>No</v>
      </c>
      <c r="D114" s="40" t="s">
        <v>290</v>
      </c>
    </row>
    <row r="115" customFormat="false" ht="15" hidden="false" customHeight="true" outlineLevel="0" collapsed="false">
      <c r="B115" s="39" t="s">
        <v>294</v>
      </c>
      <c r="C115" s="28" t="str">
        <f aca="false">IF(AND(C25="Yes",C24&lt;&gt;"Unqualified"),"YES","No")</f>
        <v>No</v>
      </c>
      <c r="D115" s="40" t="s">
        <v>295</v>
      </c>
    </row>
    <row r="116" customFormat="false" ht="15" hidden="false" customHeight="true" outlineLevel="0" collapsed="false">
      <c r="B116" s="39" t="s">
        <v>296</v>
      </c>
      <c r="C116" s="28" t="str">
        <f aca="false">IF(C19="None","YES","No")</f>
        <v>No</v>
      </c>
      <c r="D116" s="40" t="s">
        <v>295</v>
      </c>
    </row>
    <row r="117" customFormat="false" ht="15" hidden="false" customHeight="true" outlineLevel="0" collapsed="false">
      <c r="B117" s="39" t="s">
        <v>297</v>
      </c>
      <c r="C117" s="28" t="str">
        <f aca="false">IF(C18&gt;3,"YES","No")</f>
        <v>No</v>
      </c>
      <c r="D117" s="40" t="s">
        <v>295</v>
      </c>
    </row>
    <row r="118" customFormat="false" ht="15" hidden="false" customHeight="true" outlineLevel="0" collapsed="false">
      <c r="B118" s="39" t="s">
        <v>298</v>
      </c>
      <c r="C118" s="28" t="str">
        <f aca="false">IF(C16&gt;0.75,"YES","No")</f>
        <v>No</v>
      </c>
      <c r="D118" s="40" t="s">
        <v>290</v>
      </c>
    </row>
    <row r="119" customFormat="false" ht="15" hidden="false" customHeight="true" outlineLevel="0" collapsed="false">
      <c r="B119" s="39" t="s">
        <v>299</v>
      </c>
      <c r="C119" s="28" t="str">
        <f aca="false">IF(C30&lt;&gt;"None","YES","No")</f>
        <v>No</v>
      </c>
      <c r="D119" s="40" t="s">
        <v>295</v>
      </c>
    </row>
    <row r="120" customFormat="false" ht="15" hidden="false" customHeight="true" outlineLevel="0" collapsed="false">
      <c r="B120" s="39" t="s">
        <v>300</v>
      </c>
      <c r="C120" s="28" t="str">
        <f aca="false">IF(C45="Class 5","YES","No")</f>
        <v>No</v>
      </c>
      <c r="D120" s="40" t="s">
        <v>295</v>
      </c>
    </row>
    <row r="121" customFormat="false" ht="15" hidden="false" customHeight="true" outlineLevel="0" collapsed="false">
      <c r="B121" s="39" t="s">
        <v>301</v>
      </c>
      <c r="C121" s="28" t="str">
        <f aca="false">IF(C29="Yes","YES","No")</f>
        <v>No</v>
      </c>
      <c r="D121" s="40" t="s">
        <v>295</v>
      </c>
    </row>
    <row r="122" customFormat="false" ht="15" hidden="false" customHeight="true" outlineLevel="0" collapsed="false">
      <c r="B122" s="39" t="s">
        <v>302</v>
      </c>
      <c r="C122" s="28" t="str">
        <f aca="false">IF(C28&gt;=3,"YES","No")</f>
        <v>No</v>
      </c>
      <c r="D122" s="40" t="s">
        <v>290</v>
      </c>
    </row>
    <row r="123" customFormat="false" ht="15" hidden="false" customHeight="true" outlineLevel="0" collapsed="false">
      <c r="B123" s="39" t="s">
        <v>303</v>
      </c>
      <c r="C123" s="28" t="str">
        <f aca="false">IF(C31="IPO or RTO","YES","No")</f>
        <v>No</v>
      </c>
      <c r="D123" s="40" t="s">
        <v>290</v>
      </c>
    </row>
    <row r="124" customFormat="false" ht="15" hidden="false" customHeight="true" outlineLevel="0" collapsed="false">
      <c r="B124" s="39" t="s">
        <v>304</v>
      </c>
      <c r="C124" s="28" t="str">
        <f aca="false">IF(C33&gt;0,"YES","No")</f>
        <v>No</v>
      </c>
      <c r="D124" s="40" t="s">
        <v>290</v>
      </c>
    </row>
    <row r="125" customFormat="false" ht="15" hidden="false" customHeight="true" outlineLevel="0" collapsed="false">
      <c r="B125" s="39" t="s">
        <v>305</v>
      </c>
      <c r="C125" s="28" t="str">
        <f aca="false">IF(C34="Yes","YES","No")</f>
        <v>No</v>
      </c>
      <c r="D125" s="40" t="s">
        <v>295</v>
      </c>
    </row>
    <row r="126" customFormat="false" ht="15" hidden="false" customHeight="true" outlineLevel="0" collapsed="false">
      <c r="B126" s="39" t="s">
        <v>306</v>
      </c>
      <c r="C126" s="28" t="str">
        <f aca="false">IF(C35="Yes","YES","No")</f>
        <v>No</v>
      </c>
      <c r="D126" s="40" t="s">
        <v>295</v>
      </c>
    </row>
    <row r="127" customFormat="false" ht="15" hidden="false" customHeight="true" outlineLevel="0" collapsed="false">
      <c r="B127" s="39" t="s">
        <v>307</v>
      </c>
      <c r="C127" s="28" t="str">
        <f aca="false">IF(OR(D55&lt;0.7,D55&gt;2),"YES","No")</f>
        <v>No</v>
      </c>
      <c r="D127" s="40" t="s">
        <v>290</v>
      </c>
    </row>
    <row r="128" customFormat="false" ht="15" hidden="false" customHeight="true" outlineLevel="0" collapsed="false">
      <c r="B128" s="39" t="s">
        <v>308</v>
      </c>
      <c r="C128" s="28" t="str">
        <f aca="false">IF(ROUND(D54,4)&lt;&gt;ROUND(D55,4),"YES","No")</f>
        <v>No</v>
      </c>
      <c r="D128" s="40" t="s">
        <v>295</v>
      </c>
    </row>
    <row r="129" customFormat="false" ht="15" hidden="false" customHeight="true" outlineLevel="0" collapsed="false">
      <c r="B129" s="39" t="s">
        <v>309</v>
      </c>
      <c r="C129" s="28" t="str">
        <f aca="false">IF(OR(D89&lt;0.8,D89&gt;1.2),"YES","No")</f>
        <v>No</v>
      </c>
      <c r="D129" s="40" t="s">
        <v>290</v>
      </c>
    </row>
    <row r="130" customFormat="false" ht="15" hidden="false" customHeight="true" outlineLevel="0" collapsed="false">
      <c r="B130" s="39" t="s">
        <v>310</v>
      </c>
      <c r="C130" s="28" t="str">
        <f aca="false">IF(AND(D43&gt;0,SUMPRODUCT((C60:C67&gt;D60:D67)*1)&gt;0),"YES","No")</f>
        <v>No</v>
      </c>
      <c r="D130" s="40" t="s">
        <v>290</v>
      </c>
    </row>
    <row r="131" customFormat="false" ht="15" hidden="false" customHeight="true" outlineLevel="0" collapsed="false">
      <c r="B131" s="39" t="s">
        <v>311</v>
      </c>
      <c r="C131" s="28" t="str">
        <f aca="false">IF(OR(C97&lt;0.95,C97&gt;1.05),"YES","No")</f>
        <v>No</v>
      </c>
      <c r="D131" s="40" t="s">
        <v>290</v>
      </c>
    </row>
    <row r="132" customFormat="false" ht="15" hidden="false" customHeight="true" outlineLevel="0" collapsed="false">
      <c r="B132" s="39" t="s">
        <v>312</v>
      </c>
      <c r="C132" s="28" t="str">
        <f aca="false">IFERROR(IF(AND(C37&gt;0,D101/C37-1&lt;-0.1),"YES","No"),"-")</f>
        <v>No</v>
      </c>
      <c r="D132" s="40" t="s">
        <v>290</v>
      </c>
    </row>
    <row r="133" customFormat="false" ht="15" hidden="false" customHeight="true" outlineLevel="0" collapsed="false">
      <c r="B133" s="39" t="s">
        <v>313</v>
      </c>
      <c r="C133" s="28" t="str">
        <f aca="false">IF(D43&gt;25,"YES","No")</f>
        <v>No</v>
      </c>
      <c r="D133" s="40" t="s">
        <v>290</v>
      </c>
    </row>
    <row r="134" customFormat="false" ht="15" hidden="false" customHeight="true" outlineLevel="0" collapsed="false">
      <c r="B134" s="39" t="s">
        <v>314</v>
      </c>
      <c r="C134" s="28" t="str">
        <f aca="false">IF(ISNUMBER(D99),IF(D99&lt;D100,"YES","No"),"-")</f>
        <v>No</v>
      </c>
      <c r="D134" s="40" t="s">
        <v>290</v>
      </c>
    </row>
    <row r="135" customFormat="false" ht="15" hidden="false" customHeight="true" outlineLevel="0" collapsed="false">
      <c r="B135" s="39" t="s">
        <v>315</v>
      </c>
      <c r="C135" s="28" t="str">
        <f aca="false">IF(OR(COUNTA('Risk Narrative'!B6,'Risk Narrative'!B18,'Risk Narrative'!B23,'Risk Narrative'!B28,'Risk Narrative'!C32,'Risk Narrative'!B44,'Risk Narrative'!B49,'Risk Narrative'!C53,'Risk Narrative'!B66,'Risk Narrative'!B71,'Risk Narrative'!C75,'Risk Narrative'!C76)&lt;12,COUNT('Risk Narrative'!C35:C38)&lt;4),"YES","No")</f>
        <v>No</v>
      </c>
      <c r="D135" s="40" t="s">
        <v>285</v>
      </c>
    </row>
    <row r="136" customFormat="false" ht="15" hidden="false" customHeight="true" outlineLevel="0" collapsed="false">
      <c r="B136" s="39" t="s">
        <v>316</v>
      </c>
      <c r="C136" s="28" t="str">
        <f aca="false">IF('Risk Narrative'!C32="High","YES","No")</f>
        <v>No</v>
      </c>
      <c r="D136" s="40" t="s">
        <v>295</v>
      </c>
    </row>
    <row r="137" customFormat="false" ht="15" hidden="false" customHeight="true" outlineLevel="0" collapsed="false">
      <c r="B137" s="39" t="s">
        <v>317</v>
      </c>
      <c r="C137" s="28" t="str">
        <f aca="false">IF(OR('Risk Narrative'!C53="Weak",'Risk Narrative'!C53="Serious concern"),"YES","No")</f>
        <v>No</v>
      </c>
      <c r="D137" s="40" t="s">
        <v>295</v>
      </c>
    </row>
    <row r="138" customFormat="false" ht="15" hidden="false" customHeight="true" outlineLevel="0" collapsed="false">
      <c r="B138" s="39" t="s">
        <v>318</v>
      </c>
      <c r="C138" s="28" t="str">
        <f aca="false">IF(OR('Risk Narrative'!C75="Weak",'Risk Narrative'!C76="Material"),"YES","No")</f>
        <v>No</v>
      </c>
      <c r="D138" s="40" t="s">
        <v>290</v>
      </c>
    </row>
    <row r="139" customFormat="false" ht="15" hidden="false" customHeight="true" outlineLevel="0" collapsed="false">
      <c r="B139" s="39" t="s">
        <v>319</v>
      </c>
      <c r="C139" s="28" t="str">
        <f aca="false">IF(AND(COUNTA('Risk Narrative'!C56:C62)&gt;0,'Risk Narrative'!C63=0),"YES","No")</f>
        <v>No</v>
      </c>
      <c r="D139" s="40" t="s">
        <v>290</v>
      </c>
    </row>
    <row r="140" customFormat="false" ht="15" hidden="false" customHeight="true" outlineLevel="0" collapsed="false">
      <c r="B140" s="39" t="s">
        <v>320</v>
      </c>
      <c r="C140" s="28" t="str">
        <f aca="false">IF(AND(ISNUMBER('Risk Narrative'!C39),'Risk Narrative'!C39&lt;=0),"YES","No")</f>
        <v>No</v>
      </c>
      <c r="D140" s="40" t="s">
        <v>295</v>
      </c>
    </row>
    <row r="141" customFormat="false" ht="15" hidden="false" customHeight="true" outlineLevel="0" collapsed="false">
      <c r="B141" s="39" t="s">
        <v>321</v>
      </c>
      <c r="C141" s="28" t="str">
        <f aca="false">IF(AND(OR('Risk Narrative'!C53="Weak",'Risk Narrative'!C53="Serious concern"),C49&lt;1),"YES","No")</f>
        <v>No</v>
      </c>
      <c r="D141" s="40" t="s">
        <v>290</v>
      </c>
    </row>
    <row r="142" customFormat="false" ht="15" hidden="false" customHeight="true" outlineLevel="0" collapsed="false">
      <c r="B142" s="39" t="s">
        <v>322</v>
      </c>
      <c r="C142" s="28" t="str">
        <f aca="false">IF(AND('Risk Narrative'!C32="High",C52&lt;1.2),"YES","No")</f>
        <v>No</v>
      </c>
      <c r="D142" s="40" t="s">
        <v>290</v>
      </c>
    </row>
    <row r="143" customFormat="false" ht="15" hidden="false" customHeight="true" outlineLevel="0" collapsed="false">
      <c r="B143" s="39" t="s">
        <v>323</v>
      </c>
      <c r="C143" s="28" t="str">
        <f aca="false">IF(AND(OR('Risk Narrative'!C75="Weak",'Risk Narrative'!C76="Material"),C50&lt;1.1),"YES","No")</f>
        <v>No</v>
      </c>
      <c r="D143" s="40" t="s">
        <v>290</v>
      </c>
    </row>
    <row r="144" customFormat="false" ht="15" hidden="false" customHeight="true" outlineLevel="0" collapsed="false">
      <c r="B144" s="39" t="s">
        <v>324</v>
      </c>
      <c r="C144" s="28" t="str">
        <f aca="false">IF(AND(COUNT('Risk Narrative'!C38:E38)=3,COUNTIF('Risk Narrative'!C38:E38,"&gt;0")&lt;&gt;IF(C19="All three",3,IF(C19="Two of three",2,IF(C19="One of three",1,0)))),"YES","No")</f>
        <v>No</v>
      </c>
      <c r="D144" s="40" t="s">
        <v>285</v>
      </c>
    </row>
    <row r="146" customFormat="false" ht="21.75" hidden="false" customHeight="true" outlineLevel="0" collapsed="false">
      <c r="B146" s="11" t="s">
        <v>325</v>
      </c>
      <c r="C146" s="41" t="str">
        <f aca="false">IF(COUNTIF(C107:C144,"YES")&gt;0,"REFER — "&amp;COUNTIF(C107:C144,"YES")&amp;" trigger(s). Do not release terms until signed off.","Within junior underwriting authority — clear to quote")</f>
        <v>Within junior underwriting authority — clear to quote</v>
      </c>
      <c r="D146" s="41"/>
      <c r="E146" s="41"/>
      <c r="F146" s="41"/>
    </row>
    <row r="148" customFormat="false" ht="16.5" hidden="false" customHeight="true" outlineLevel="0" collapsed="false">
      <c r="A148" s="3" t="s">
        <v>326</v>
      </c>
      <c r="B148" s="3"/>
      <c r="C148" s="3"/>
      <c r="D148" s="3"/>
      <c r="E148" s="3"/>
      <c r="F148" s="3"/>
    </row>
    <row r="149" customFormat="false" ht="15.75" hidden="false" customHeight="true" outlineLevel="0" collapsed="false">
      <c r="B149" s="13" t="s">
        <v>327</v>
      </c>
      <c r="C149" s="42"/>
      <c r="D149" s="42"/>
      <c r="E149" s="42"/>
      <c r="F149" s="42"/>
    </row>
    <row r="150" customFormat="false" ht="15.75" hidden="false" customHeight="true" outlineLevel="0" collapsed="false">
      <c r="B150" s="13" t="s">
        <v>328</v>
      </c>
      <c r="C150" s="42"/>
      <c r="D150" s="42"/>
      <c r="E150" s="42"/>
      <c r="F150" s="42"/>
    </row>
    <row r="151" customFormat="false" ht="15.75" hidden="false" customHeight="true" outlineLevel="0" collapsed="false">
      <c r="B151" s="13" t="s">
        <v>329</v>
      </c>
      <c r="C151" s="42"/>
      <c r="D151" s="42"/>
      <c r="E151" s="42"/>
      <c r="F151" s="42"/>
    </row>
    <row r="152" customFormat="false" ht="15.75" hidden="false" customHeight="true" outlineLevel="0" collapsed="false">
      <c r="B152" s="13" t="s">
        <v>330</v>
      </c>
      <c r="C152" s="42"/>
      <c r="D152" s="42"/>
      <c r="E152" s="42"/>
      <c r="F152" s="42"/>
    </row>
    <row r="154" customFormat="false" ht="15" hidden="false" customHeight="true" outlineLevel="0" collapsed="false">
      <c r="B154" s="22" t="s">
        <v>331</v>
      </c>
      <c r="C154" s="22"/>
      <c r="D154" s="22"/>
      <c r="E154" s="22"/>
      <c r="F154" s="22"/>
    </row>
    <row r="155" customFormat="false" ht="15" hidden="false" customHeight="false" outlineLevel="0" collapsed="false">
      <c r="B155" s="22"/>
      <c r="C155" s="22"/>
      <c r="D155" s="22"/>
      <c r="E155" s="22"/>
      <c r="F155" s="22"/>
    </row>
    <row r="156" customFormat="false" ht="15" hidden="false" customHeight="false" outlineLevel="0" collapsed="false">
      <c r="B156" s="22"/>
      <c r="C156" s="22"/>
      <c r="D156" s="22"/>
      <c r="E156" s="22"/>
      <c r="F156" s="22"/>
    </row>
  </sheetData>
  <mergeCells count="28">
    <mergeCell ref="A1:F1"/>
    <mergeCell ref="A2:F2"/>
    <mergeCell ref="A4:F4"/>
    <mergeCell ref="A10:F10"/>
    <mergeCell ref="A12:F12"/>
    <mergeCell ref="A17:F17"/>
    <mergeCell ref="A21:F21"/>
    <mergeCell ref="A27:F27"/>
    <mergeCell ref="A32:F32"/>
    <mergeCell ref="A36:F36"/>
    <mergeCell ref="A39:F39"/>
    <mergeCell ref="A47:F47"/>
    <mergeCell ref="A57:F57"/>
    <mergeCell ref="A58:F58"/>
    <mergeCell ref="B68:F68"/>
    <mergeCell ref="A70:F70"/>
    <mergeCell ref="B71:F72"/>
    <mergeCell ref="A74:F74"/>
    <mergeCell ref="B90:F91"/>
    <mergeCell ref="A93:F93"/>
    <mergeCell ref="A105:F105"/>
    <mergeCell ref="C146:F146"/>
    <mergeCell ref="A148:F148"/>
    <mergeCell ref="C149:F149"/>
    <mergeCell ref="C150:F150"/>
    <mergeCell ref="C151:F151"/>
    <mergeCell ref="C152:F152"/>
    <mergeCell ref="B154:F156"/>
  </mergeCells>
  <dataValidations count="9">
    <dataValidation allowBlank="true" errorStyle="stop" operator="between" showDropDown="false" showErrorMessage="false" showInputMessage="false" sqref="C20 C25:C26 C29 C34:C35" type="list">
      <formula1>"Yes,No"</formula1>
      <formula2>0</formula2>
    </dataValidation>
    <dataValidation allowBlank="true" errorStyle="stop" operator="between" showDropDown="false" showErrorMessage="false" showInputMessage="false" sqref="C76:C88" type="list">
      <formula1>"Yes,No"</formula1>
      <formula2>0</formula2>
    </dataValidation>
    <dataValidation allowBlank="true" errorStyle="stop" operator="between" showDropDown="false" showErrorMessage="false" showInputMessage="false" sqref="C24" type="list">
      <formula1>"Unqualified,Emphasis of matter,Qualified,Adverse,Disclaimer"</formula1>
      <formula2>0</formula2>
    </dataValidation>
    <dataValidation allowBlank="true" errorStyle="stop" operator="between" showDropDown="false" showErrorMessage="false" showInputMessage="false" sqref="C30" type="list">
      <formula1>"None,ADR Level 1 (OTC),ADR Level 2 or 3,US listing or 144A"</formula1>
      <formula2>0</formula2>
    </dataValidation>
    <dataValidation allowBlank="true" errorStyle="stop" operator="between" showDropDown="false" showErrorMessage="false" showInputMessage="false" sqref="C19" type="list">
      <formula1>"All three,Two of three,One of three,None"</formula1>
      <formula2>0</formula2>
    </dataValidation>
    <dataValidation allowBlank="true" errorStyle="stop" operator="between" showDropDown="false" showErrorMessage="false" showInputMessage="false" sqref="C31" type="list">
      <formula1>"None,Placement or rights issue,IPO or RTO"</formula1>
      <formula2>0</formula2>
    </dataValidation>
    <dataValidation allowBlank="true" errorStyle="stop" operator="between" showDropDown="false" showErrorMessage="false" showInputMessage="false" sqref="C42" type="list">
      <formula1>"S$5m,S$10m,S$15m,S$20m,S$25m,S$30m,S$50m"</formula1>
      <formula2>0</formula2>
    </dataValidation>
    <dataValidation allowBlank="true" errorStyle="stop" operator="between" showDropDown="false" showErrorMessage="false" showInputMessage="false" sqref="C44" type="list">
      <formula1>"SGD 100k,SGD 250k,SGD 500k,SGD 1m,SGD 2.5m"</formula1>
      <formula2>0</formula2>
    </dataValidation>
    <dataValidation allowBlank="true" errorStyle="stop" operator="between" showDropDown="false" showErrorMessage="false" showInputMessage="false" sqref="C45" type="list">
      <formula1>"Class 1,Class 2,Class 3,Class 4,Class 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8"/>
    <col collapsed="false" customWidth="true" hidden="false" outlineLevel="0" max="4" min="4" style="0" width="30"/>
  </cols>
  <sheetData>
    <row r="1" customFormat="false" ht="24" hidden="false" customHeight="true" outlineLevel="0" collapsed="false">
      <c r="A1" s="1" t="s">
        <v>332</v>
      </c>
      <c r="B1" s="1"/>
      <c r="C1" s="1"/>
      <c r="D1" s="1"/>
    </row>
    <row r="3" customFormat="false" ht="27.75" hidden="false" customHeight="true" outlineLevel="0" collapsed="false">
      <c r="A3" s="18" t="s">
        <v>333</v>
      </c>
      <c r="B3" s="18" t="s">
        <v>334</v>
      </c>
      <c r="C3" s="18" t="s">
        <v>335</v>
      </c>
      <c r="D3" s="18" t="s">
        <v>336</v>
      </c>
    </row>
    <row r="4" customFormat="false" ht="15" hidden="false" customHeight="false" outlineLevel="0" collapsed="false">
      <c r="A4" s="43" t="s">
        <v>337</v>
      </c>
      <c r="B4" s="44" t="n">
        <v>0</v>
      </c>
      <c r="C4" s="44" t="n">
        <v>50</v>
      </c>
      <c r="D4" s="44" t="n">
        <v>8000</v>
      </c>
    </row>
    <row r="5" customFormat="false" ht="15" hidden="false" customHeight="false" outlineLevel="0" collapsed="false">
      <c r="A5" s="43" t="s">
        <v>338</v>
      </c>
      <c r="B5" s="44" t="n">
        <v>50</v>
      </c>
      <c r="C5" s="44" t="n">
        <v>100</v>
      </c>
      <c r="D5" s="44" t="n">
        <v>10500</v>
      </c>
    </row>
    <row r="6" customFormat="false" ht="15" hidden="false" customHeight="false" outlineLevel="0" collapsed="false">
      <c r="A6" s="43" t="s">
        <v>339</v>
      </c>
      <c r="B6" s="44" t="n">
        <v>100</v>
      </c>
      <c r="C6" s="44" t="n">
        <v>250</v>
      </c>
      <c r="D6" s="44" t="n">
        <v>14000</v>
      </c>
    </row>
    <row r="7" customFormat="false" ht="15" hidden="false" customHeight="false" outlineLevel="0" collapsed="false">
      <c r="A7" s="43" t="s">
        <v>340</v>
      </c>
      <c r="B7" s="44" t="n">
        <v>250</v>
      </c>
      <c r="C7" s="44" t="n">
        <v>500</v>
      </c>
      <c r="D7" s="44" t="n">
        <v>18500</v>
      </c>
    </row>
    <row r="8" customFormat="false" ht="15" hidden="false" customHeight="false" outlineLevel="0" collapsed="false">
      <c r="A8" s="45" t="s">
        <v>341</v>
      </c>
      <c r="B8" s="44" t="n">
        <v>500</v>
      </c>
      <c r="C8" s="44" t="n">
        <v>1000</v>
      </c>
      <c r="D8" s="44" t="n">
        <v>25000</v>
      </c>
    </row>
    <row r="9" customFormat="false" ht="15" hidden="false" customHeight="false" outlineLevel="0" collapsed="false">
      <c r="A9" s="45" t="s">
        <v>342</v>
      </c>
      <c r="B9" s="44" t="n">
        <v>1000</v>
      </c>
      <c r="C9" s="44" t="n">
        <v>2500</v>
      </c>
      <c r="D9" s="44" t="n">
        <v>34000</v>
      </c>
    </row>
    <row r="10" customFormat="false" ht="15" hidden="false" customHeight="false" outlineLevel="0" collapsed="false">
      <c r="A10" s="45" t="s">
        <v>343</v>
      </c>
      <c r="B10" s="44" t="n">
        <v>2500</v>
      </c>
      <c r="C10" s="44" t="n">
        <v>5000</v>
      </c>
      <c r="D10" s="44" t="n">
        <v>46000</v>
      </c>
    </row>
    <row r="11" customFormat="false" ht="15" hidden="false" customHeight="false" outlineLevel="0" collapsed="false">
      <c r="A11" s="45" t="s">
        <v>344</v>
      </c>
      <c r="B11" s="44" t="n">
        <v>5000</v>
      </c>
      <c r="C11" s="44" t="n">
        <v>10000</v>
      </c>
      <c r="D11" s="44" t="n">
        <v>62000</v>
      </c>
    </row>
    <row r="12" customFormat="false" ht="15" hidden="false" customHeight="false" outlineLevel="0" collapsed="false">
      <c r="A12" s="43" t="s">
        <v>345</v>
      </c>
      <c r="B12" s="44" t="n">
        <v>10000</v>
      </c>
      <c r="C12" s="44" t="n">
        <v>999999</v>
      </c>
      <c r="D12" s="44" t="n">
        <v>82000</v>
      </c>
    </row>
    <row r="13" customFormat="false" ht="15" hidden="false" customHeight="false" outlineLevel="0" collapsed="false">
      <c r="A13" s="2" t="s">
        <v>346</v>
      </c>
      <c r="B13" s="2"/>
      <c r="C13" s="2"/>
      <c r="D13" s="2"/>
    </row>
    <row r="15" customFormat="false" ht="27.75" hidden="false" customHeight="true" outlineLevel="0" collapsed="false">
      <c r="A15" s="18" t="s">
        <v>347</v>
      </c>
      <c r="B15" s="18" t="s">
        <v>162</v>
      </c>
      <c r="C15" s="18" t="s">
        <v>348</v>
      </c>
      <c r="D15" s="18" t="s">
        <v>349</v>
      </c>
    </row>
    <row r="16" customFormat="false" ht="15" hidden="false" customHeight="false" outlineLevel="0" collapsed="false">
      <c r="A16" s="43" t="s">
        <v>350</v>
      </c>
      <c r="B16" s="46" t="n">
        <v>0.7</v>
      </c>
      <c r="C16" s="44" t="n">
        <v>5</v>
      </c>
      <c r="D16" s="43"/>
    </row>
    <row r="17" customFormat="false" ht="15" hidden="false" customHeight="false" outlineLevel="0" collapsed="false">
      <c r="A17" s="43" t="s">
        <v>167</v>
      </c>
      <c r="B17" s="46" t="n">
        <v>1</v>
      </c>
      <c r="C17" s="44" t="n">
        <v>10</v>
      </c>
      <c r="D17" s="43"/>
    </row>
    <row r="18" customFormat="false" ht="15" hidden="false" customHeight="false" outlineLevel="0" collapsed="false">
      <c r="A18" s="43" t="s">
        <v>351</v>
      </c>
      <c r="B18" s="46" t="n">
        <v>1.22</v>
      </c>
      <c r="C18" s="44" t="n">
        <v>15</v>
      </c>
      <c r="D18" s="43"/>
    </row>
    <row r="19" customFormat="false" ht="15" hidden="false" customHeight="false" outlineLevel="0" collapsed="false">
      <c r="A19" s="43" t="s">
        <v>352</v>
      </c>
      <c r="B19" s="46" t="n">
        <v>1.4</v>
      </c>
      <c r="C19" s="44" t="n">
        <v>20</v>
      </c>
      <c r="D19" s="43"/>
    </row>
    <row r="20" customFormat="false" ht="15" hidden="false" customHeight="false" outlineLevel="0" collapsed="false">
      <c r="A20" s="43" t="s">
        <v>353</v>
      </c>
      <c r="B20" s="46" t="n">
        <v>1.55</v>
      </c>
      <c r="C20" s="44" t="n">
        <v>25</v>
      </c>
      <c r="D20" s="43"/>
    </row>
    <row r="21" customFormat="false" ht="15" hidden="false" customHeight="false" outlineLevel="0" collapsed="false">
      <c r="A21" s="43" t="s">
        <v>354</v>
      </c>
      <c r="B21" s="46" t="n">
        <v>1.68</v>
      </c>
      <c r="C21" s="44" t="n">
        <v>30</v>
      </c>
      <c r="D21" s="43"/>
    </row>
    <row r="22" customFormat="false" ht="15" hidden="false" customHeight="false" outlineLevel="0" collapsed="false">
      <c r="A22" s="43" t="s">
        <v>355</v>
      </c>
      <c r="B22" s="46" t="n">
        <v>2.05</v>
      </c>
      <c r="C22" s="44" t="n">
        <v>50</v>
      </c>
      <c r="D22" s="43"/>
    </row>
    <row r="23" customFormat="false" ht="15" hidden="false" customHeight="false" outlineLevel="0" collapsed="false">
      <c r="A23" s="2" t="s">
        <v>356</v>
      </c>
      <c r="B23" s="2"/>
      <c r="C23" s="2"/>
      <c r="D23" s="2"/>
    </row>
    <row r="25" customFormat="false" ht="27.75" hidden="false" customHeight="true" outlineLevel="0" collapsed="false">
      <c r="A25" s="18" t="s">
        <v>357</v>
      </c>
      <c r="B25" s="18" t="s">
        <v>358</v>
      </c>
      <c r="C25" s="18" t="s">
        <v>162</v>
      </c>
      <c r="D25" s="18" t="s">
        <v>349</v>
      </c>
    </row>
    <row r="26" customFormat="false" ht="15" hidden="false" customHeight="false" outlineLevel="0" collapsed="false">
      <c r="A26" s="43" t="s">
        <v>359</v>
      </c>
      <c r="B26" s="44" t="n">
        <v>100000</v>
      </c>
      <c r="C26" s="46" t="n">
        <v>1.15</v>
      </c>
      <c r="D26" s="45" t="s">
        <v>360</v>
      </c>
    </row>
    <row r="27" customFormat="false" ht="15" hidden="false" customHeight="false" outlineLevel="0" collapsed="false">
      <c r="A27" s="43" t="s">
        <v>172</v>
      </c>
      <c r="B27" s="44" t="n">
        <v>250000</v>
      </c>
      <c r="C27" s="46" t="n">
        <v>1</v>
      </c>
      <c r="D27" s="45" t="s">
        <v>361</v>
      </c>
    </row>
    <row r="28" customFormat="false" ht="15" hidden="false" customHeight="false" outlineLevel="0" collapsed="false">
      <c r="A28" s="43" t="s">
        <v>362</v>
      </c>
      <c r="B28" s="44" t="n">
        <v>500000</v>
      </c>
      <c r="C28" s="46" t="n">
        <v>0.9</v>
      </c>
      <c r="D28" s="45" t="s">
        <v>363</v>
      </c>
    </row>
    <row r="29" customFormat="false" ht="15" hidden="false" customHeight="false" outlineLevel="0" collapsed="false">
      <c r="A29" s="43" t="s">
        <v>364</v>
      </c>
      <c r="B29" s="44" t="n">
        <v>1000000</v>
      </c>
      <c r="C29" s="46" t="n">
        <v>0.8</v>
      </c>
      <c r="D29" s="43" t="s">
        <v>365</v>
      </c>
    </row>
    <row r="30" customFormat="false" ht="15" hidden="false" customHeight="false" outlineLevel="0" collapsed="false">
      <c r="A30" s="43" t="s">
        <v>366</v>
      </c>
      <c r="B30" s="44" t="n">
        <v>2500000</v>
      </c>
      <c r="C30" s="46" t="n">
        <v>0.68</v>
      </c>
      <c r="D30" s="45" t="s">
        <v>367</v>
      </c>
    </row>
    <row r="33" customFormat="false" ht="27.75" hidden="false" customHeight="true" outlineLevel="0" collapsed="false">
      <c r="A33" s="18" t="s">
        <v>368</v>
      </c>
      <c r="B33" s="18" t="s">
        <v>369</v>
      </c>
      <c r="C33" s="18" t="s">
        <v>162</v>
      </c>
      <c r="D33" s="18" t="s">
        <v>349</v>
      </c>
    </row>
    <row r="34" customFormat="false" ht="27.75" hidden="false" customHeight="true" outlineLevel="0" collapsed="false">
      <c r="A34" s="43" t="s">
        <v>370</v>
      </c>
      <c r="B34" s="45" t="s">
        <v>371</v>
      </c>
      <c r="C34" s="46" t="n">
        <v>0.85</v>
      </c>
      <c r="D34" s="45" t="s">
        <v>372</v>
      </c>
    </row>
    <row r="35" customFormat="false" ht="27.75" hidden="false" customHeight="true" outlineLevel="0" collapsed="false">
      <c r="A35" s="43" t="s">
        <v>175</v>
      </c>
      <c r="B35" s="45" t="s">
        <v>373</v>
      </c>
      <c r="C35" s="46" t="n">
        <v>1</v>
      </c>
      <c r="D35" s="43" t="s">
        <v>374</v>
      </c>
    </row>
    <row r="36" customFormat="false" ht="27.75" hidden="false" customHeight="true" outlineLevel="0" collapsed="false">
      <c r="A36" s="43" t="s">
        <v>375</v>
      </c>
      <c r="B36" s="45" t="s">
        <v>376</v>
      </c>
      <c r="C36" s="46" t="n">
        <v>1.2</v>
      </c>
      <c r="D36" s="45" t="s">
        <v>377</v>
      </c>
    </row>
    <row r="37" customFormat="false" ht="27.75" hidden="false" customHeight="true" outlineLevel="0" collapsed="false">
      <c r="A37" s="43" t="s">
        <v>378</v>
      </c>
      <c r="B37" s="45" t="s">
        <v>379</v>
      </c>
      <c r="C37" s="46" t="n">
        <v>1.45</v>
      </c>
      <c r="D37" s="45" t="s">
        <v>380</v>
      </c>
    </row>
    <row r="38" customFormat="false" ht="27.75" hidden="false" customHeight="true" outlineLevel="0" collapsed="false">
      <c r="A38" s="43" t="s">
        <v>381</v>
      </c>
      <c r="B38" s="45" t="s">
        <v>382</v>
      </c>
      <c r="C38" s="46" t="n">
        <v>1.75</v>
      </c>
      <c r="D38" s="43" t="s">
        <v>383</v>
      </c>
    </row>
    <row r="41" customFormat="false" ht="27.75" hidden="false" customHeight="true" outlineLevel="0" collapsed="false">
      <c r="A41" s="18" t="s">
        <v>384</v>
      </c>
      <c r="B41" s="18"/>
      <c r="C41" s="18" t="s">
        <v>385</v>
      </c>
      <c r="D41" s="18" t="s">
        <v>349</v>
      </c>
    </row>
    <row r="42" customFormat="false" ht="15" hidden="false" customHeight="false" outlineLevel="0" collapsed="false">
      <c r="A42" s="45" t="s">
        <v>272</v>
      </c>
      <c r="B42" s="43"/>
      <c r="C42" s="44" t="n">
        <v>7500</v>
      </c>
      <c r="D42" s="45" t="s">
        <v>386</v>
      </c>
    </row>
    <row r="43" customFormat="false" ht="15" hidden="false" customHeight="false" outlineLevel="0" collapsed="false">
      <c r="A43" s="45" t="s">
        <v>387</v>
      </c>
      <c r="B43" s="43"/>
      <c r="C43" s="46" t="n">
        <v>0.5</v>
      </c>
      <c r="D43" s="45" t="s">
        <v>388</v>
      </c>
    </row>
    <row r="44" customFormat="false" ht="15" hidden="false" customHeight="false" outlineLevel="0" collapsed="false">
      <c r="A44" s="45" t="s">
        <v>389</v>
      </c>
      <c r="B44" s="43"/>
      <c r="C44" s="46" t="n">
        <v>3.5</v>
      </c>
      <c r="D44" s="45" t="s">
        <v>388</v>
      </c>
    </row>
  </sheetData>
  <mergeCells count="3">
    <mergeCell ref="A1:D1"/>
    <mergeCell ref="A13:D13"/>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2026-08-26T18:59:36Z</dcterms:created>
  <dc:creator>openpyxl</dc:creator>
  <dc:description/>
  <dc:language>en-US</dc:language>
  <cp:lastModifiedBy/>
  <dcterms:modified xsi:type="dcterms:W3CDTF">2026-08-26T18:59:37Z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